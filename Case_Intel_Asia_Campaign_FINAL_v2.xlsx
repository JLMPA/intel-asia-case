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7C81937F-8AD5-4954-8ECB-59120EB19F72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Answer Report 2" sheetId="11" r:id="rId1"/>
    <sheet name="Model 2." sheetId="8" r:id="rId2"/>
    <sheet name="Model 2" sheetId="7" state="hidden" r:id="rId3"/>
    <sheet name="Model 2 Modify" sheetId="6" state="hidden" r:id="rId4"/>
    <sheet name="Answer Report 1" sheetId="10" r:id="rId5"/>
    <sheet name="Model 1" sheetId="5" r:id="rId6"/>
    <sheet name="RAW DATA" sheetId="1" r:id="rId7"/>
    <sheet name="FB Users" sheetId="9" r:id="rId8"/>
  </sheets>
  <definedNames>
    <definedName name="_xlnm._FilterDatabase" localSheetId="5" hidden="1">'Model 1'!$V$59:$V$83</definedName>
    <definedName name="_xlnm._FilterDatabase" localSheetId="2" hidden="1">'Model 2'!$P$60:$P$84</definedName>
    <definedName name="_xlnm._FilterDatabase" localSheetId="3" hidden="1">'Model 2 Modify'!$Q$60:$Q$84</definedName>
    <definedName name="_xlnm._FilterDatabase" localSheetId="1" hidden="1">'Model 2.'!$AI$60:$AI$84</definedName>
    <definedName name="_xlnm._FilterDatabase" localSheetId="6" hidden="1">'RAW DATA'!$Q$59:$Q$83</definedName>
    <definedName name="_xlnm.Print_Area" localSheetId="4">'Answer Report 1'!$A$14:$G$73</definedName>
    <definedName name="_xlnm.Print_Area" localSheetId="7">'FB Users'!$B$2:$L$9</definedName>
    <definedName name="_xlnm.Print_Area" localSheetId="5">'Model 1'!$A$50:$T$85</definedName>
    <definedName name="_xlnm.Print_Area" localSheetId="6">'RAW DATA'!$A$5:$H$46</definedName>
    <definedName name="solver_adj" localSheetId="5" hidden="1">'Model 1'!$D$61:$D$63,'Model 1'!$D$65:$D$67,'Model 1'!$D$69:$D$71,'Model 1'!$D$74:$D$75,'Model 1'!$D$73,'Model 1'!$D$77:$D$79,'Model 1'!$D$81:$D$83</definedName>
    <definedName name="solver_adj" localSheetId="2" hidden="1">'Model 2'!$D$62:$D$64,'Model 2'!$D$66:$D$68,'Model 2'!$D$70:$D$72,'Model 2'!$D$75:$D$76,'Model 2'!$D$74,'Model 2'!$D$78:$D$80,'Model 2'!$D$82:$D$84</definedName>
    <definedName name="solver_adj" localSheetId="3" hidden="1">'Model 2 Modify'!$D$62:$D$64,'Model 2 Modify'!$D$66:$D$68,'Model 2 Modify'!$D$70:$D$72,'Model 2 Modify'!$D$75:$D$76,'Model 2 Modify'!$D$74,'Model 2 Modify'!$D$78:$D$80,'Model 2 Modify'!$D$82:$D$84</definedName>
    <definedName name="solver_adj" localSheetId="1" hidden="1">'Model 2.'!$D$62:$D$64,'Model 2.'!$D$66:$D$68,'Model 2.'!$D$70:$D$72,'Model 2.'!$D$75:$D$76,'Model 2.'!$D$74,'Model 2.'!$D$78:$D$80,'Model 2.'!$D$82:$D$84</definedName>
    <definedName name="solver_adj" localSheetId="6" hidden="1">'RAW DATA'!$D$61:$D$63,'RAW DATA'!$D$65:$D$67,'RAW DATA'!$D$69:$D$71,'RAW DATA'!$D$74:$D$75,'RAW DATA'!$D$73,'RAW DATA'!$D$77:$D$79,'RAW DATA'!$D$81:$D$83</definedName>
    <definedName name="solver_cvg" localSheetId="5" hidden="1">0.0001</definedName>
    <definedName name="solver_cvg" localSheetId="2" hidden="1">0.0001</definedName>
    <definedName name="solver_cvg" localSheetId="3" hidden="1">0.0001</definedName>
    <definedName name="solver_cvg" localSheetId="1" hidden="1">0.0001</definedName>
    <definedName name="solver_cvg" localSheetId="6" hidden="1">0.0001</definedName>
    <definedName name="solver_drv" localSheetId="5" hidden="1">2</definedName>
    <definedName name="solver_drv" localSheetId="2" hidden="1">2</definedName>
    <definedName name="solver_drv" localSheetId="3" hidden="1">2</definedName>
    <definedName name="solver_drv" localSheetId="1" hidden="1">2</definedName>
    <definedName name="solver_drv" localSheetId="6" hidden="1">2</definedName>
    <definedName name="solver_eng" localSheetId="5" hidden="1">2</definedName>
    <definedName name="solver_eng" localSheetId="2" hidden="1">1</definedName>
    <definedName name="solver_eng" localSheetId="3" hidden="1">2</definedName>
    <definedName name="solver_eng" localSheetId="1" hidden="1">1</definedName>
    <definedName name="solver_eng" localSheetId="6" hidden="1">2</definedName>
    <definedName name="solver_est" localSheetId="5" hidden="1">1</definedName>
    <definedName name="solver_est" localSheetId="2" hidden="1">1</definedName>
    <definedName name="solver_est" localSheetId="3" hidden="1">1</definedName>
    <definedName name="solver_est" localSheetId="1" hidden="1">1</definedName>
    <definedName name="solver_est" localSheetId="6" hidden="1">1</definedName>
    <definedName name="solver_itr" localSheetId="5" hidden="1">2147483647</definedName>
    <definedName name="solver_itr" localSheetId="2" hidden="1">2147483647</definedName>
    <definedName name="solver_itr" localSheetId="3" hidden="1">2147483647</definedName>
    <definedName name="solver_itr" localSheetId="1" hidden="1">2147483647</definedName>
    <definedName name="solver_itr" localSheetId="6" hidden="1">2147483647</definedName>
    <definedName name="solver_lhs1" localSheetId="5" hidden="1">'Model 1'!$D$60</definedName>
    <definedName name="solver_lhs1" localSheetId="2" hidden="1">'Model 2'!$AP$101:$AP$106</definedName>
    <definedName name="solver_lhs1" localSheetId="3" hidden="1">'Model 2 Modify'!$D$62:$D$64</definedName>
    <definedName name="solver_lhs1" localSheetId="1" hidden="1">'Model 2.'!$D$82:$D$84</definedName>
    <definedName name="solver_lhs1" localSheetId="6" hidden="1">'RAW DATA'!$D$60</definedName>
    <definedName name="solver_lhs10" localSheetId="5" hidden="1">'Model 1'!$D$72</definedName>
    <definedName name="solver_lhs10" localSheetId="2" hidden="1">'Model 2'!$D$74:$D$76</definedName>
    <definedName name="solver_lhs10" localSheetId="3" hidden="1">'Model 2 Modify'!$L$86</definedName>
    <definedName name="solver_lhs10" localSheetId="1" hidden="1">'Model 2.'!$D$66:$D$68</definedName>
    <definedName name="solver_lhs10" localSheetId="6" hidden="1">'RAW DATA'!$D$72</definedName>
    <definedName name="solver_lhs11" localSheetId="5" hidden="1">'Model 1'!$D$73:$D$75</definedName>
    <definedName name="solver_lhs11" localSheetId="2" hidden="1">'Model 2'!$D$77</definedName>
    <definedName name="solver_lhs11" localSheetId="3" hidden="1">'Model 2 Modify'!$L$86</definedName>
    <definedName name="solver_lhs11" localSheetId="1" hidden="1">'Model 2.'!$D$65</definedName>
    <definedName name="solver_lhs11" localSheetId="6" hidden="1">'RAW DATA'!$D$73:$D$75</definedName>
    <definedName name="solver_lhs12" localSheetId="5" hidden="1">'Model 1'!$D$73:$D$75</definedName>
    <definedName name="solver_lhs12" localSheetId="2" hidden="1">'Model 2'!$D$78:$D$80</definedName>
    <definedName name="solver_lhs12" localSheetId="3" hidden="1">'Model 2 Modify'!$L$86</definedName>
    <definedName name="solver_lhs12" localSheetId="1" hidden="1">'Model 2.'!$D$62:$D$64</definedName>
    <definedName name="solver_lhs12" localSheetId="6" hidden="1">'RAW DATA'!$D$73:$D$75</definedName>
    <definedName name="solver_lhs13" localSheetId="5" hidden="1">'Model 1'!$D$76</definedName>
    <definedName name="solver_lhs13" localSheetId="2" hidden="1">'Model 2'!$D$81</definedName>
    <definedName name="solver_lhs13" localSheetId="3" hidden="1">'Model 2 Modify'!$L$86</definedName>
    <definedName name="solver_lhs13" localSheetId="1" hidden="1">'Model 2.'!$D$61</definedName>
    <definedName name="solver_lhs13" localSheetId="6" hidden="1">'RAW DATA'!$D$76</definedName>
    <definedName name="solver_lhs14" localSheetId="5" hidden="1">'Model 1'!$D$77:$D$79</definedName>
    <definedName name="solver_lhs14" localSheetId="2" hidden="1">'Model 2'!$D$82:$D$84</definedName>
    <definedName name="solver_lhs14" localSheetId="3" hidden="1">'Model 2 Modify'!$L$86</definedName>
    <definedName name="solver_lhs14" localSheetId="1" hidden="1">'Model 2.'!$AD$101:$AD$106</definedName>
    <definedName name="solver_lhs14" localSheetId="6" hidden="1">'RAW DATA'!$D$77:$D$79</definedName>
    <definedName name="solver_lhs15" localSheetId="5" hidden="1">'Model 1'!$D$77:$D$79</definedName>
    <definedName name="solver_lhs15" localSheetId="2" hidden="1">'Model 2'!$L$86</definedName>
    <definedName name="solver_lhs15" localSheetId="3" hidden="1">'Model 2 Modify'!$L$86</definedName>
    <definedName name="solver_lhs15" localSheetId="1" hidden="1">'Model 2.'!$AD$101:$AD$106</definedName>
    <definedName name="solver_lhs15" localSheetId="6" hidden="1">'RAW DATA'!$D$77:$D$79</definedName>
    <definedName name="solver_lhs16" localSheetId="5" hidden="1">'Model 1'!$D$80</definedName>
    <definedName name="solver_lhs16" localSheetId="2" hidden="1">'Model 2'!$T$68</definedName>
    <definedName name="solver_lhs16" localSheetId="3" hidden="1">'Model 2 Modify'!$L$86</definedName>
    <definedName name="solver_lhs16" localSheetId="1" hidden="1">'Model 2.'!$AL$68</definedName>
    <definedName name="solver_lhs16" localSheetId="6" hidden="1">'RAW DATA'!$D$80</definedName>
    <definedName name="solver_lhs17" localSheetId="5" hidden="1">'Model 1'!$D$81:$D$83</definedName>
    <definedName name="solver_lhs17" localSheetId="2" hidden="1">'Model 2'!$T$84</definedName>
    <definedName name="solver_lhs17" localSheetId="3" hidden="1">'Model 2 Modify'!$L$86</definedName>
    <definedName name="solver_lhs17" localSheetId="1" hidden="1">'Model 2.'!$AL$84</definedName>
    <definedName name="solver_lhs17" localSheetId="6" hidden="1">'RAW DATA'!$D$81:$D$83</definedName>
    <definedName name="solver_lhs18" localSheetId="5" hidden="1">'Model 1'!$D$81:$D$83</definedName>
    <definedName name="solver_lhs18" localSheetId="2" hidden="1">'Model 2'!$T$84</definedName>
    <definedName name="solver_lhs18" localSheetId="3" hidden="1">'Model 2 Modify'!$L$86</definedName>
    <definedName name="solver_lhs18" localSheetId="1" hidden="1">'Model 2.'!$AL$84</definedName>
    <definedName name="solver_lhs18" localSheetId="6" hidden="1">'RAW DATA'!$D$81:$D$83</definedName>
    <definedName name="solver_lhs19" localSheetId="5" hidden="1">'Model 1'!$L$85</definedName>
    <definedName name="solver_lhs19" localSheetId="2" hidden="1">'Model 2'!$T$84</definedName>
    <definedName name="solver_lhs19" localSheetId="3" hidden="1">'Model 2 Modify'!$L$86</definedName>
    <definedName name="solver_lhs19" localSheetId="1" hidden="1">'Model 2.'!$AL$84</definedName>
    <definedName name="solver_lhs19" localSheetId="6" hidden="1">'RAW DATA'!$L$85</definedName>
    <definedName name="solver_lhs2" localSheetId="5" hidden="1">'Model 1'!$D$61:$D$63</definedName>
    <definedName name="solver_lhs2" localSheetId="2" hidden="1">'Model 2'!$AP$88:$AP$93</definedName>
    <definedName name="solver_lhs2" localSheetId="3" hidden="1">'Model 2 Modify'!$D$66:$D$68</definedName>
    <definedName name="solver_lhs2" localSheetId="1" hidden="1">'Model 2.'!$L$86</definedName>
    <definedName name="solver_lhs2" localSheetId="6" hidden="1">'RAW DATA'!$D$61:$D$63</definedName>
    <definedName name="solver_lhs20" localSheetId="2" hidden="1">'Model 2'!$T$84</definedName>
    <definedName name="solver_lhs20" localSheetId="1" hidden="1">'Model 2.'!$AL$84</definedName>
    <definedName name="solver_lhs21" localSheetId="2" hidden="1">'Model 2'!$T$84</definedName>
    <definedName name="solver_lhs21" localSheetId="1" hidden="1">'Model 2.'!$AL$84</definedName>
    <definedName name="solver_lhs3" localSheetId="5" hidden="1">'Model 1'!$D$61:$D$63</definedName>
    <definedName name="solver_lhs3" localSheetId="2" hidden="1">'Model 2'!$D$61</definedName>
    <definedName name="solver_lhs3" localSheetId="3" hidden="1">'Model 2 Modify'!$D$70:$D$72</definedName>
    <definedName name="solver_lhs3" localSheetId="1" hidden="1">'Model 2.'!$D$81</definedName>
    <definedName name="solver_lhs3" localSheetId="6" hidden="1">'RAW DATA'!$D$61:$D$63</definedName>
    <definedName name="solver_lhs4" localSheetId="5" hidden="1">'Model 1'!$D$64</definedName>
    <definedName name="solver_lhs4" localSheetId="2" hidden="1">'Model 2'!$D$62:$D$64</definedName>
    <definedName name="solver_lhs4" localSheetId="3" hidden="1">'Model 2 Modify'!$D$74:$D$76</definedName>
    <definedName name="solver_lhs4" localSheetId="1" hidden="1">'Model 2.'!$D$78:$D$80</definedName>
    <definedName name="solver_lhs4" localSheetId="6" hidden="1">'RAW DATA'!$D$64</definedName>
    <definedName name="solver_lhs5" localSheetId="5" hidden="1">'Model 1'!$D$65:$D$67</definedName>
    <definedName name="solver_lhs5" localSheetId="2" hidden="1">'Model 2'!$D$65</definedName>
    <definedName name="solver_lhs5" localSheetId="3" hidden="1">'Model 2 Modify'!$D$78:$D$80</definedName>
    <definedName name="solver_lhs5" localSheetId="1" hidden="1">'Model 2.'!$D$77</definedName>
    <definedName name="solver_lhs5" localSheetId="6" hidden="1">'RAW DATA'!$D$65:$D$67</definedName>
    <definedName name="solver_lhs6" localSheetId="5" hidden="1">'Model 1'!$D$65:$D$67</definedName>
    <definedName name="solver_lhs6" localSheetId="2" hidden="1">'Model 2'!$D$66:$D$68</definedName>
    <definedName name="solver_lhs6" localSheetId="3" hidden="1">'Model 2 Modify'!$D$82:$D$84</definedName>
    <definedName name="solver_lhs6" localSheetId="1" hidden="1">'Model 2.'!$D$74:$D$76</definedName>
    <definedName name="solver_lhs6" localSheetId="6" hidden="1">'RAW DATA'!$D$65:$D$67</definedName>
    <definedName name="solver_lhs7" localSheetId="5" hidden="1">'Model 1'!$D$68</definedName>
    <definedName name="solver_lhs7" localSheetId="2" hidden="1">'Model 2'!$D$69</definedName>
    <definedName name="solver_lhs7" localSheetId="3" hidden="1">'Model 2 Modify'!$L$86</definedName>
    <definedName name="solver_lhs7" localSheetId="1" hidden="1">'Model 2.'!$D$73</definedName>
    <definedName name="solver_lhs7" localSheetId="6" hidden="1">'RAW DATA'!$D$68</definedName>
    <definedName name="solver_lhs8" localSheetId="5" hidden="1">'Model 1'!$D$69:$D$71</definedName>
    <definedName name="solver_lhs8" localSheetId="2" hidden="1">'Model 2'!$D$70:$D$72</definedName>
    <definedName name="solver_lhs8" localSheetId="3" hidden="1">'Model 2 Modify'!$L$86</definedName>
    <definedName name="solver_lhs8" localSheetId="1" hidden="1">'Model 2.'!$D$70:$D$72</definedName>
    <definedName name="solver_lhs8" localSheetId="6" hidden="1">'RAW DATA'!$D$69:$D$71</definedName>
    <definedName name="solver_lhs9" localSheetId="5" hidden="1">'Model 1'!$D$69:$D$71</definedName>
    <definedName name="solver_lhs9" localSheetId="2" hidden="1">'Model 2'!$D$73</definedName>
    <definedName name="solver_lhs9" localSheetId="3" hidden="1">'Model 2 Modify'!$L$86</definedName>
    <definedName name="solver_lhs9" localSheetId="1" hidden="1">'Model 2.'!$D$69</definedName>
    <definedName name="solver_lhs9" localSheetId="6" hidden="1">'RAW DATA'!$D$69:$D$71</definedName>
    <definedName name="solver_mip" localSheetId="5" hidden="1">2147483647</definedName>
    <definedName name="solver_mip" localSheetId="2" hidden="1">2147483647</definedName>
    <definedName name="solver_mip" localSheetId="3" hidden="1">2147483647</definedName>
    <definedName name="solver_mip" localSheetId="1" hidden="1">2147483647</definedName>
    <definedName name="solver_mip" localSheetId="6" hidden="1">2147483647</definedName>
    <definedName name="solver_mni" localSheetId="5" hidden="1">30</definedName>
    <definedName name="solver_mni" localSheetId="2" hidden="1">30</definedName>
    <definedName name="solver_mni" localSheetId="3" hidden="1">30</definedName>
    <definedName name="solver_mni" localSheetId="1" hidden="1">30</definedName>
    <definedName name="solver_mni" localSheetId="6" hidden="1">30</definedName>
    <definedName name="solver_mrt" localSheetId="5" hidden="1">0.075</definedName>
    <definedName name="solver_mrt" localSheetId="2" hidden="1">0.075</definedName>
    <definedName name="solver_mrt" localSheetId="3" hidden="1">0.075</definedName>
    <definedName name="solver_mrt" localSheetId="1" hidden="1">0.075</definedName>
    <definedName name="solver_mrt" localSheetId="6" hidden="1">0.075</definedName>
    <definedName name="solver_msl" localSheetId="5" hidden="1">2</definedName>
    <definedName name="solver_msl" localSheetId="2" hidden="1">2</definedName>
    <definedName name="solver_msl" localSheetId="3" hidden="1">2</definedName>
    <definedName name="solver_msl" localSheetId="1" hidden="1">2</definedName>
    <definedName name="solver_msl" localSheetId="6" hidden="1">2</definedName>
    <definedName name="solver_neg" localSheetId="5" hidden="1">1</definedName>
    <definedName name="solver_neg" localSheetId="2" hidden="1">1</definedName>
    <definedName name="solver_neg" localSheetId="3" hidden="1">1</definedName>
    <definedName name="solver_neg" localSheetId="1" hidden="1">1</definedName>
    <definedName name="solver_neg" localSheetId="6" hidden="1">1</definedName>
    <definedName name="solver_nod" localSheetId="5" hidden="1">2147483647</definedName>
    <definedName name="solver_nod" localSheetId="2" hidden="1">2147483647</definedName>
    <definedName name="solver_nod" localSheetId="3" hidden="1">2147483647</definedName>
    <definedName name="solver_nod" localSheetId="1" hidden="1">2147483647</definedName>
    <definedName name="solver_nod" localSheetId="6" hidden="1">2147483647</definedName>
    <definedName name="solver_num" localSheetId="5" hidden="1">19</definedName>
    <definedName name="solver_num" localSheetId="2" hidden="1">17</definedName>
    <definedName name="solver_num" localSheetId="3" hidden="1">7</definedName>
    <definedName name="solver_num" localSheetId="1" hidden="1">17</definedName>
    <definedName name="solver_num" localSheetId="6" hidden="1">19</definedName>
    <definedName name="solver_nwt" localSheetId="5" hidden="1">1</definedName>
    <definedName name="solver_nwt" localSheetId="2" hidden="1">1</definedName>
    <definedName name="solver_nwt" localSheetId="3" hidden="1">1</definedName>
    <definedName name="solver_nwt" localSheetId="1" hidden="1">1</definedName>
    <definedName name="solver_nwt" localSheetId="6" hidden="1">1</definedName>
    <definedName name="solver_opt" localSheetId="5" hidden="1">'Model 1'!$B$50</definedName>
    <definedName name="solver_opt" localSheetId="2" hidden="1">'Model 2'!$B$50</definedName>
    <definedName name="solver_opt" localSheetId="3" hidden="1">'Model 2 Modify'!$B$50</definedName>
    <definedName name="solver_opt" localSheetId="1" hidden="1">'Model 2.'!$B$50</definedName>
    <definedName name="solver_opt" localSheetId="6" hidden="1">'RAW DATA'!$B$49</definedName>
    <definedName name="solver_pre" localSheetId="5" hidden="1">0.000001</definedName>
    <definedName name="solver_pre" localSheetId="2" hidden="1">0.000001</definedName>
    <definedName name="solver_pre" localSheetId="3" hidden="1">0.000001</definedName>
    <definedName name="solver_pre" localSheetId="1" hidden="1">0.000001</definedName>
    <definedName name="solver_pre" localSheetId="6" hidden="1">0.000001</definedName>
    <definedName name="solver_rbv" localSheetId="5" hidden="1">2</definedName>
    <definedName name="solver_rbv" localSheetId="2" hidden="1">2</definedName>
    <definedName name="solver_rbv" localSheetId="3" hidden="1">2</definedName>
    <definedName name="solver_rbv" localSheetId="1" hidden="1">2</definedName>
    <definedName name="solver_rbv" localSheetId="6" hidden="1">2</definedName>
    <definedName name="solver_rel1" localSheetId="5" hidden="1">1</definedName>
    <definedName name="solver_rel1" localSheetId="2" hidden="1">1</definedName>
    <definedName name="solver_rel1" localSheetId="3" hidden="1">4</definedName>
    <definedName name="solver_rel1" localSheetId="1" hidden="1">3</definedName>
    <definedName name="solver_rel1" localSheetId="6" hidden="1">1</definedName>
    <definedName name="solver_rel10" localSheetId="5" hidden="1">1</definedName>
    <definedName name="solver_rel10" localSheetId="2" hidden="1">3</definedName>
    <definedName name="solver_rel10" localSheetId="3" hidden="1">1</definedName>
    <definedName name="solver_rel10" localSheetId="1" hidden="1">3</definedName>
    <definedName name="solver_rel10" localSheetId="6" hidden="1">1</definedName>
    <definedName name="solver_rel11" localSheetId="5" hidden="1">4</definedName>
    <definedName name="solver_rel11" localSheetId="2" hidden="1">1</definedName>
    <definedName name="solver_rel11" localSheetId="3" hidden="1">1</definedName>
    <definedName name="solver_rel11" localSheetId="1" hidden="1">1</definedName>
    <definedName name="solver_rel11" localSheetId="6" hidden="1">4</definedName>
    <definedName name="solver_rel12" localSheetId="5" hidden="1">3</definedName>
    <definedName name="solver_rel12" localSheetId="2" hidden="1">3</definedName>
    <definedName name="solver_rel12" localSheetId="3" hidden="1">1</definedName>
    <definedName name="solver_rel12" localSheetId="1" hidden="1">3</definedName>
    <definedName name="solver_rel12" localSheetId="6" hidden="1">3</definedName>
    <definedName name="solver_rel13" localSheetId="5" hidden="1">1</definedName>
    <definedName name="solver_rel13" localSheetId="2" hidden="1">1</definedName>
    <definedName name="solver_rel13" localSheetId="3" hidden="1">1</definedName>
    <definedName name="solver_rel13" localSheetId="1" hidden="1">1</definedName>
    <definedName name="solver_rel13" localSheetId="6" hidden="1">1</definedName>
    <definedName name="solver_rel14" localSheetId="5" hidden="1">4</definedName>
    <definedName name="solver_rel14" localSheetId="2" hidden="1">3</definedName>
    <definedName name="solver_rel14" localSheetId="3" hidden="1">1</definedName>
    <definedName name="solver_rel14" localSheetId="1" hidden="1">3</definedName>
    <definedName name="solver_rel14" localSheetId="6" hidden="1">4</definedName>
    <definedName name="solver_rel15" localSheetId="5" hidden="1">3</definedName>
    <definedName name="solver_rel15" localSheetId="2" hidden="1">1</definedName>
    <definedName name="solver_rel15" localSheetId="3" hidden="1">1</definedName>
    <definedName name="solver_rel15" localSheetId="1" hidden="1">1</definedName>
    <definedName name="solver_rel15" localSheetId="6" hidden="1">3</definedName>
    <definedName name="solver_rel16" localSheetId="5" hidden="1">1</definedName>
    <definedName name="solver_rel16" localSheetId="2" hidden="1">3</definedName>
    <definedName name="solver_rel16" localSheetId="3" hidden="1">1</definedName>
    <definedName name="solver_rel16" localSheetId="1" hidden="1">3</definedName>
    <definedName name="solver_rel16" localSheetId="6" hidden="1">1</definedName>
    <definedName name="solver_rel17" localSheetId="5" hidden="1">4</definedName>
    <definedName name="solver_rel17" localSheetId="2" hidden="1">3</definedName>
    <definedName name="solver_rel17" localSheetId="3" hidden="1">1</definedName>
    <definedName name="solver_rel17" localSheetId="1" hidden="1">3</definedName>
    <definedName name="solver_rel17" localSheetId="6" hidden="1">4</definedName>
    <definedName name="solver_rel18" localSheetId="5" hidden="1">3</definedName>
    <definedName name="solver_rel18" localSheetId="2" hidden="1">3</definedName>
    <definedName name="solver_rel18" localSheetId="3" hidden="1">1</definedName>
    <definedName name="solver_rel18" localSheetId="1" hidden="1">3</definedName>
    <definedName name="solver_rel18" localSheetId="6" hidden="1">3</definedName>
    <definedName name="solver_rel19" localSheetId="5" hidden="1">1</definedName>
    <definedName name="solver_rel19" localSheetId="2" hidden="1">3</definedName>
    <definedName name="solver_rel19" localSheetId="3" hidden="1">1</definedName>
    <definedName name="solver_rel19" localSheetId="1" hidden="1">3</definedName>
    <definedName name="solver_rel19" localSheetId="6" hidden="1">1</definedName>
    <definedName name="solver_rel2" localSheetId="5" hidden="1">4</definedName>
    <definedName name="solver_rel2" localSheetId="2" hidden="1">3</definedName>
    <definedName name="solver_rel2" localSheetId="3" hidden="1">4</definedName>
    <definedName name="solver_rel2" localSheetId="1" hidden="1">1</definedName>
    <definedName name="solver_rel2" localSheetId="6" hidden="1">4</definedName>
    <definedName name="solver_rel20" localSheetId="2" hidden="1">3</definedName>
    <definedName name="solver_rel20" localSheetId="1" hidden="1">3</definedName>
    <definedName name="solver_rel21" localSheetId="2" hidden="1">3</definedName>
    <definedName name="solver_rel21" localSheetId="1" hidden="1">3</definedName>
    <definedName name="solver_rel3" localSheetId="5" hidden="1">3</definedName>
    <definedName name="solver_rel3" localSheetId="2" hidden="1">1</definedName>
    <definedName name="solver_rel3" localSheetId="3" hidden="1">4</definedName>
    <definedName name="solver_rel3" localSheetId="1" hidden="1">1</definedName>
    <definedName name="solver_rel3" localSheetId="6" hidden="1">3</definedName>
    <definedName name="solver_rel4" localSheetId="5" hidden="1">1</definedName>
    <definedName name="solver_rel4" localSheetId="2" hidden="1">3</definedName>
    <definedName name="solver_rel4" localSheetId="3" hidden="1">4</definedName>
    <definedName name="solver_rel4" localSheetId="1" hidden="1">3</definedName>
    <definedName name="solver_rel4" localSheetId="6" hidden="1">1</definedName>
    <definedName name="solver_rel5" localSheetId="5" hidden="1">4</definedName>
    <definedName name="solver_rel5" localSheetId="2" hidden="1">1</definedName>
    <definedName name="solver_rel5" localSheetId="3" hidden="1">4</definedName>
    <definedName name="solver_rel5" localSheetId="1" hidden="1">1</definedName>
    <definedName name="solver_rel5" localSheetId="6" hidden="1">4</definedName>
    <definedName name="solver_rel6" localSheetId="5" hidden="1">3</definedName>
    <definedName name="solver_rel6" localSheetId="2" hidden="1">3</definedName>
    <definedName name="solver_rel6" localSheetId="3" hidden="1">4</definedName>
    <definedName name="solver_rel6" localSheetId="1" hidden="1">3</definedName>
    <definedName name="solver_rel6" localSheetId="6" hidden="1">3</definedName>
    <definedName name="solver_rel7" localSheetId="5" hidden="1">1</definedName>
    <definedName name="solver_rel7" localSheetId="2" hidden="1">1</definedName>
    <definedName name="solver_rel7" localSheetId="3" hidden="1">1</definedName>
    <definedName name="solver_rel7" localSheetId="1" hidden="1">1</definedName>
    <definedName name="solver_rel7" localSheetId="6" hidden="1">1</definedName>
    <definedName name="solver_rel8" localSheetId="5" hidden="1">4</definedName>
    <definedName name="solver_rel8" localSheetId="2" hidden="1">3</definedName>
    <definedName name="solver_rel8" localSheetId="3" hidden="1">1</definedName>
    <definedName name="solver_rel8" localSheetId="1" hidden="1">3</definedName>
    <definedName name="solver_rel8" localSheetId="6" hidden="1">4</definedName>
    <definedName name="solver_rel9" localSheetId="5" hidden="1">3</definedName>
    <definedName name="solver_rel9" localSheetId="2" hidden="1">1</definedName>
    <definedName name="solver_rel9" localSheetId="3" hidden="1">1</definedName>
    <definedName name="solver_rel9" localSheetId="1" hidden="1">1</definedName>
    <definedName name="solver_rel9" localSheetId="6" hidden="1">3</definedName>
    <definedName name="solver_rhs1" localSheetId="5" hidden="1">'Model 1'!$W$60</definedName>
    <definedName name="solver_rhs1" localSheetId="2" hidden="1">'Model 2'!$AR$101:$AR$106</definedName>
    <definedName name="solver_rhs1" localSheetId="3" hidden="1">integer</definedName>
    <definedName name="solver_rhs1" localSheetId="1" hidden="1">'Model 2.'!$AJ$82:$AJ$84</definedName>
    <definedName name="solver_rhs1" localSheetId="6" hidden="1">'RAW DATA'!$R$60</definedName>
    <definedName name="solver_rhs10" localSheetId="5" hidden="1">'Model 1'!$W$72</definedName>
    <definedName name="solver_rhs10" localSheetId="2" hidden="1">'Model 2'!$Q$74:$Q$76</definedName>
    <definedName name="solver_rhs10" localSheetId="3" hidden="1">'Model 2 Modify'!$V$61</definedName>
    <definedName name="solver_rhs10" localSheetId="1" hidden="1">'Model 2.'!$AJ$66:$AJ$68</definedName>
    <definedName name="solver_rhs10" localSheetId="6" hidden="1">'RAW DATA'!$R$72</definedName>
    <definedName name="solver_rhs11" localSheetId="5" hidden="1">integer</definedName>
    <definedName name="solver_rhs11" localSheetId="2" hidden="1">'Model 2'!$Q$77</definedName>
    <definedName name="solver_rhs11" localSheetId="3" hidden="1">'Model 2 Modify'!$V$61</definedName>
    <definedName name="solver_rhs11" localSheetId="1" hidden="1">'Model 2.'!$AJ$65</definedName>
    <definedName name="solver_rhs11" localSheetId="6" hidden="1">integer</definedName>
    <definedName name="solver_rhs12" localSheetId="5" hidden="1">'Model 1'!$W$73:$W$75</definedName>
    <definedName name="solver_rhs12" localSheetId="2" hidden="1">'Model 2'!$Q$78:$Q$80</definedName>
    <definedName name="solver_rhs12" localSheetId="3" hidden="1">'Model 2 Modify'!$V$61</definedName>
    <definedName name="solver_rhs12" localSheetId="1" hidden="1">'Model 2.'!$AJ$62:$AJ$64</definedName>
    <definedName name="solver_rhs12" localSheetId="6" hidden="1">'RAW DATA'!$R$73:$R$75</definedName>
    <definedName name="solver_rhs13" localSheetId="5" hidden="1">'Model 1'!$W$76</definedName>
    <definedName name="solver_rhs13" localSheetId="2" hidden="1">'Model 2'!$Q$81</definedName>
    <definedName name="solver_rhs13" localSheetId="3" hidden="1">'Model 2 Modify'!$V$61</definedName>
    <definedName name="solver_rhs13" localSheetId="1" hidden="1">'Model 2.'!$AJ$61</definedName>
    <definedName name="solver_rhs13" localSheetId="6" hidden="1">'RAW DATA'!$R$76</definedName>
    <definedName name="solver_rhs14" localSheetId="5" hidden="1">integer</definedName>
    <definedName name="solver_rhs14" localSheetId="2" hidden="1">'Model 2'!$Q$82:$Q$84</definedName>
    <definedName name="solver_rhs14" localSheetId="3" hidden="1">'Model 2 Modify'!$V$61</definedName>
    <definedName name="solver_rhs14" localSheetId="1" hidden="1">'Model 2.'!$AG$101:$AG$106</definedName>
    <definedName name="solver_rhs14" localSheetId="6" hidden="1">integer</definedName>
    <definedName name="solver_rhs15" localSheetId="5" hidden="1">'Model 1'!$W$77:$W$79</definedName>
    <definedName name="solver_rhs15" localSheetId="2" hidden="1">'Model 2'!$Y$61</definedName>
    <definedName name="solver_rhs15" localSheetId="3" hidden="1">'Model 2 Modify'!$V$61</definedName>
    <definedName name="solver_rhs15" localSheetId="1" hidden="1">'Model 2.'!$AF$101:$AF$106</definedName>
    <definedName name="solver_rhs15" localSheetId="6" hidden="1">'RAW DATA'!$R$77:$R$79</definedName>
    <definedName name="solver_rhs16" localSheetId="5" hidden="1">'Model 1'!$W$80</definedName>
    <definedName name="solver_rhs16" localSheetId="2" hidden="1">'Model 2'!$V$68</definedName>
    <definedName name="solver_rhs16" localSheetId="3" hidden="1">'Model 2 Modify'!$V$61</definedName>
    <definedName name="solver_rhs16" localSheetId="1" hidden="1">'Model 2.'!$AN$68</definedName>
    <definedName name="solver_rhs16" localSheetId="6" hidden="1">'RAW DATA'!$R$80</definedName>
    <definedName name="solver_rhs17" localSheetId="5" hidden="1">integer</definedName>
    <definedName name="solver_rhs17" localSheetId="2" hidden="1">'Model 2'!$V$84</definedName>
    <definedName name="solver_rhs17" localSheetId="3" hidden="1">'Model 2 Modify'!$V$61</definedName>
    <definedName name="solver_rhs17" localSheetId="1" hidden="1">'Model 2.'!$AN$84</definedName>
    <definedName name="solver_rhs17" localSheetId="6" hidden="1">integer</definedName>
    <definedName name="solver_rhs18" localSheetId="5" hidden="1">'Model 1'!$W$81:$W$83</definedName>
    <definedName name="solver_rhs18" localSheetId="2" hidden="1">'Model 2'!$V$84</definedName>
    <definedName name="solver_rhs18" localSheetId="3" hidden="1">'Model 2 Modify'!$V$61</definedName>
    <definedName name="solver_rhs18" localSheetId="1" hidden="1">'Model 2.'!$AN$84</definedName>
    <definedName name="solver_rhs18" localSheetId="6" hidden="1">'RAW DATA'!$R$81:$R$83</definedName>
    <definedName name="solver_rhs19" localSheetId="5" hidden="1">'Model 1'!$Z$60</definedName>
    <definedName name="solver_rhs19" localSheetId="2" hidden="1">'Model 2'!$V$84</definedName>
    <definedName name="solver_rhs19" localSheetId="3" hidden="1">'Model 2 Modify'!$V$61</definedName>
    <definedName name="solver_rhs19" localSheetId="1" hidden="1">'Model 2.'!$AN$84</definedName>
    <definedName name="solver_rhs19" localSheetId="6" hidden="1">'RAW DATA'!$V$60</definedName>
    <definedName name="solver_rhs2" localSheetId="5" hidden="1">integer</definedName>
    <definedName name="solver_rhs2" localSheetId="2" hidden="1">'Model 2'!$AR$88:$AR$93</definedName>
    <definedName name="solver_rhs2" localSheetId="3" hidden="1">integer</definedName>
    <definedName name="solver_rhs2" localSheetId="1" hidden="1">'Model 2.'!$AQ$61</definedName>
    <definedName name="solver_rhs2" localSheetId="6" hidden="1">integer</definedName>
    <definedName name="solver_rhs20" localSheetId="2" hidden="1">'Model 2'!$V$84</definedName>
    <definedName name="solver_rhs20" localSheetId="1" hidden="1">'Model 2.'!$AN$84</definedName>
    <definedName name="solver_rhs21" localSheetId="2" hidden="1">'Model 2'!$V$84</definedName>
    <definedName name="solver_rhs21" localSheetId="1" hidden="1">'Model 2.'!$AN$84</definedName>
    <definedName name="solver_rhs3" localSheetId="5" hidden="1">'Model 1'!$W$61:$W$63</definedName>
    <definedName name="solver_rhs3" localSheetId="2" hidden="1">'Model 2'!$Q$61</definedName>
    <definedName name="solver_rhs3" localSheetId="3" hidden="1">integer</definedName>
    <definedName name="solver_rhs3" localSheetId="1" hidden="1">'Model 2.'!$AJ$81</definedName>
    <definedName name="solver_rhs3" localSheetId="6" hidden="1">'RAW DATA'!$R$61:$R$63</definedName>
    <definedName name="solver_rhs4" localSheetId="5" hidden="1">'Model 1'!$W$64</definedName>
    <definedName name="solver_rhs4" localSheetId="2" hidden="1">'Model 2'!$Q$62:$Q$64</definedName>
    <definedName name="solver_rhs4" localSheetId="3" hidden="1">integer</definedName>
    <definedName name="solver_rhs4" localSheetId="1" hidden="1">'Model 2.'!$AJ$78:$AJ$80</definedName>
    <definedName name="solver_rhs4" localSheetId="6" hidden="1">'RAW DATA'!$R$64</definedName>
    <definedName name="solver_rhs5" localSheetId="5" hidden="1">integer</definedName>
    <definedName name="solver_rhs5" localSheetId="2" hidden="1">'Model 2'!$Q$65</definedName>
    <definedName name="solver_rhs5" localSheetId="3" hidden="1">integer</definedName>
    <definedName name="solver_rhs5" localSheetId="1" hidden="1">'Model 2.'!$AJ$77</definedName>
    <definedName name="solver_rhs5" localSheetId="6" hidden="1">integer</definedName>
    <definedName name="solver_rhs6" localSheetId="5" hidden="1">'Model 1'!$W$65:$W$67</definedName>
    <definedName name="solver_rhs6" localSheetId="2" hidden="1">'Model 2'!$Q$66:$Q$68</definedName>
    <definedName name="solver_rhs6" localSheetId="3" hidden="1">integer</definedName>
    <definedName name="solver_rhs6" localSheetId="1" hidden="1">'Model 2.'!$AJ$74:$AJ$76</definedName>
    <definedName name="solver_rhs6" localSheetId="6" hidden="1">'RAW DATA'!$R$65:$R$67</definedName>
    <definedName name="solver_rhs7" localSheetId="5" hidden="1">'Model 1'!$W$68</definedName>
    <definedName name="solver_rhs7" localSheetId="2" hidden="1">'Model 2'!$Q$69</definedName>
    <definedName name="solver_rhs7" localSheetId="3" hidden="1">'Model 2 Modify'!$V$61</definedName>
    <definedName name="solver_rhs7" localSheetId="1" hidden="1">'Model 2.'!$AJ$73</definedName>
    <definedName name="solver_rhs7" localSheetId="6" hidden="1">'RAW DATA'!$R$68</definedName>
    <definedName name="solver_rhs8" localSheetId="5" hidden="1">integer</definedName>
    <definedName name="solver_rhs8" localSheetId="2" hidden="1">'Model 2'!$Q$70:$Q$72</definedName>
    <definedName name="solver_rhs8" localSheetId="3" hidden="1">'Model 2 Modify'!$V$61</definedName>
    <definedName name="solver_rhs8" localSheetId="1" hidden="1">'Model 2.'!$AJ$70:$AJ$72</definedName>
    <definedName name="solver_rhs8" localSheetId="6" hidden="1">integer</definedName>
    <definedName name="solver_rhs9" localSheetId="5" hidden="1">'Model 1'!$W$69:$W$71</definedName>
    <definedName name="solver_rhs9" localSheetId="2" hidden="1">'Model 2'!$Q$73</definedName>
    <definedName name="solver_rhs9" localSheetId="3" hidden="1">'Model 2 Modify'!$V$61</definedName>
    <definedName name="solver_rhs9" localSheetId="1" hidden="1">'Model 2.'!$AJ$69</definedName>
    <definedName name="solver_rhs9" localSheetId="6" hidden="1">'RAW DATA'!$R$69:$R$71</definedName>
    <definedName name="solver_rlx" localSheetId="5" hidden="1">2</definedName>
    <definedName name="solver_rlx" localSheetId="2" hidden="1">2</definedName>
    <definedName name="solver_rlx" localSheetId="3" hidden="1">2</definedName>
    <definedName name="solver_rlx" localSheetId="1" hidden="1">2</definedName>
    <definedName name="solver_rlx" localSheetId="6" hidden="1">2</definedName>
    <definedName name="solver_rsd" localSheetId="5" hidden="1">0</definedName>
    <definedName name="solver_rsd" localSheetId="2" hidden="1">0</definedName>
    <definedName name="solver_rsd" localSheetId="3" hidden="1">0</definedName>
    <definedName name="solver_rsd" localSheetId="1" hidden="1">0</definedName>
    <definedName name="solver_rsd" localSheetId="6" hidden="1">0</definedName>
    <definedName name="solver_scl" localSheetId="5" hidden="1">2</definedName>
    <definedName name="solver_scl" localSheetId="2" hidden="1">2</definedName>
    <definedName name="solver_scl" localSheetId="3" hidden="1">2</definedName>
    <definedName name="solver_scl" localSheetId="1" hidden="1">2</definedName>
    <definedName name="solver_scl" localSheetId="6" hidden="1">2</definedName>
    <definedName name="solver_sho" localSheetId="5" hidden="1">2</definedName>
    <definedName name="solver_sho" localSheetId="2" hidden="1">2</definedName>
    <definedName name="solver_sho" localSheetId="3" hidden="1">2</definedName>
    <definedName name="solver_sho" localSheetId="1" hidden="1">2</definedName>
    <definedName name="solver_sho" localSheetId="6" hidden="1">2</definedName>
    <definedName name="solver_ssz" localSheetId="5" hidden="1">100</definedName>
    <definedName name="solver_ssz" localSheetId="2" hidden="1">100</definedName>
    <definedName name="solver_ssz" localSheetId="3" hidden="1">100</definedName>
    <definedName name="solver_ssz" localSheetId="1" hidden="1">100</definedName>
    <definedName name="solver_ssz" localSheetId="6" hidden="1">100</definedName>
    <definedName name="solver_tim" localSheetId="5" hidden="1">2147483647</definedName>
    <definedName name="solver_tim" localSheetId="2" hidden="1">2147483647</definedName>
    <definedName name="solver_tim" localSheetId="3" hidden="1">2147483647</definedName>
    <definedName name="solver_tim" localSheetId="1" hidden="1">2147483647</definedName>
    <definedName name="solver_tim" localSheetId="6" hidden="1">2147483647</definedName>
    <definedName name="solver_tol" localSheetId="5" hidden="1">0.01</definedName>
    <definedName name="solver_tol" localSheetId="2" hidden="1">0.01</definedName>
    <definedName name="solver_tol" localSheetId="3" hidden="1">0.01</definedName>
    <definedName name="solver_tol" localSheetId="1" hidden="1">0.01</definedName>
    <definedName name="solver_tol" localSheetId="6" hidden="1">0.01</definedName>
    <definedName name="solver_typ" localSheetId="5" hidden="1">1</definedName>
    <definedName name="solver_typ" localSheetId="2" hidden="1">1</definedName>
    <definedName name="solver_typ" localSheetId="3" hidden="1">1</definedName>
    <definedName name="solver_typ" localSheetId="1" hidden="1">1</definedName>
    <definedName name="solver_typ" localSheetId="6" hidden="1">1</definedName>
    <definedName name="solver_val" localSheetId="5" hidden="1">0</definedName>
    <definedName name="solver_val" localSheetId="2" hidden="1">0</definedName>
    <definedName name="solver_val" localSheetId="3" hidden="1">0</definedName>
    <definedName name="solver_val" localSheetId="1" hidden="1">0</definedName>
    <definedName name="solver_val" localSheetId="6" hidden="1">0</definedName>
    <definedName name="solver_ver" localSheetId="5" hidden="1">3</definedName>
    <definedName name="solver_ver" localSheetId="2" hidden="1">3</definedName>
    <definedName name="solver_ver" localSheetId="3" hidden="1">3</definedName>
    <definedName name="solver_ver" localSheetId="1" hidden="1">3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" i="9" l="1"/>
  <c r="E8" i="9"/>
  <c r="E7" i="9"/>
  <c r="E6" i="9"/>
  <c r="E5" i="9"/>
  <c r="E4" i="9"/>
  <c r="D9" i="9"/>
  <c r="D8" i="9"/>
  <c r="D7" i="9"/>
  <c r="D6" i="9"/>
  <c r="D5" i="9"/>
  <c r="D4" i="9"/>
  <c r="F9" i="9" l="1"/>
  <c r="F8" i="9"/>
  <c r="I8" i="9" s="1"/>
  <c r="F7" i="9"/>
  <c r="F6" i="9"/>
  <c r="F5" i="9"/>
  <c r="F4" i="9"/>
  <c r="F10" i="9" s="1"/>
  <c r="C9" i="9"/>
  <c r="C8" i="9"/>
  <c r="C7" i="9"/>
  <c r="C6" i="9"/>
  <c r="C5" i="9"/>
  <c r="C4" i="9"/>
  <c r="C10" i="9" l="1"/>
  <c r="I5" i="9"/>
  <c r="I7" i="9"/>
  <c r="I9" i="9"/>
  <c r="I6" i="9"/>
  <c r="I10" i="9"/>
  <c r="I4" i="9"/>
  <c r="P84" i="8"/>
  <c r="Q84" i="8"/>
  <c r="L84" i="8" s="1"/>
  <c r="C84" i="8"/>
  <c r="AJ84" i="8" s="1"/>
  <c r="P83" i="8"/>
  <c r="Q83" i="8"/>
  <c r="L83" i="8" s="1"/>
  <c r="C83" i="8"/>
  <c r="E83" i="8" s="1"/>
  <c r="F83" i="8" s="1"/>
  <c r="P82" i="8"/>
  <c r="H82" i="8" s="1"/>
  <c r="Q82" i="8"/>
  <c r="C82" i="8"/>
  <c r="AJ82" i="8" s="1"/>
  <c r="AD81" i="8"/>
  <c r="AC81" i="8"/>
  <c r="AA81" i="8"/>
  <c r="Z81" i="8"/>
  <c r="Y81" i="8"/>
  <c r="V81" i="8"/>
  <c r="T81" i="8"/>
  <c r="S81" i="8"/>
  <c r="D81" i="8"/>
  <c r="H9" i="9" s="1"/>
  <c r="K9" i="9" s="1"/>
  <c r="A81" i="8"/>
  <c r="P80" i="8"/>
  <c r="Q80" i="8"/>
  <c r="C80" i="8"/>
  <c r="P79" i="8"/>
  <c r="Q79" i="8"/>
  <c r="L79" i="8" s="1"/>
  <c r="C79" i="8"/>
  <c r="AJ79" i="8" s="1"/>
  <c r="P78" i="8"/>
  <c r="H78" i="8" s="1"/>
  <c r="Q78" i="8"/>
  <c r="C78" i="8"/>
  <c r="E78" i="8" s="1"/>
  <c r="F78" i="8" s="1"/>
  <c r="AD77" i="8"/>
  <c r="AC77" i="8"/>
  <c r="AA77" i="8"/>
  <c r="Z77" i="8"/>
  <c r="Y77" i="8"/>
  <c r="V77" i="8"/>
  <c r="T77" i="8"/>
  <c r="S77" i="8"/>
  <c r="D77" i="8"/>
  <c r="H8" i="9" s="1"/>
  <c r="K8" i="9" s="1"/>
  <c r="A77" i="8"/>
  <c r="P76" i="8"/>
  <c r="Q76" i="8"/>
  <c r="C76" i="8"/>
  <c r="E76" i="8" s="1"/>
  <c r="F76" i="8" s="1"/>
  <c r="P75" i="8"/>
  <c r="Q75" i="8"/>
  <c r="L75" i="8" s="1"/>
  <c r="C75" i="8"/>
  <c r="E75" i="8" s="1"/>
  <c r="F75" i="8" s="1"/>
  <c r="P74" i="8"/>
  <c r="H74" i="8" s="1"/>
  <c r="Q74" i="8"/>
  <c r="L74" i="8" s="1"/>
  <c r="C74" i="8"/>
  <c r="AD73" i="8"/>
  <c r="AC73" i="8"/>
  <c r="AA73" i="8"/>
  <c r="Z73" i="8"/>
  <c r="Y73" i="8"/>
  <c r="V73" i="8"/>
  <c r="T73" i="8"/>
  <c r="S73" i="8"/>
  <c r="D73" i="8"/>
  <c r="A73" i="8"/>
  <c r="P72" i="8"/>
  <c r="Q72" i="8"/>
  <c r="L72" i="8"/>
  <c r="C72" i="8"/>
  <c r="P71" i="8"/>
  <c r="Q71" i="8"/>
  <c r="L71" i="8" s="1"/>
  <c r="C71" i="8"/>
  <c r="K71" i="8" s="1"/>
  <c r="P70" i="8"/>
  <c r="H70" i="8" s="1"/>
  <c r="Q70" i="8"/>
  <c r="L70" i="8" s="1"/>
  <c r="C70" i="8"/>
  <c r="AD69" i="8"/>
  <c r="AC69" i="8"/>
  <c r="AA69" i="8"/>
  <c r="Z69" i="8"/>
  <c r="Y69" i="8"/>
  <c r="V69" i="8"/>
  <c r="T69" i="8"/>
  <c r="S69" i="8"/>
  <c r="D69" i="8"/>
  <c r="P68" i="8"/>
  <c r="E68" i="8"/>
  <c r="P67" i="8"/>
  <c r="Q67" i="8"/>
  <c r="L67" i="8" s="1"/>
  <c r="C67" i="8"/>
  <c r="AJ67" i="8" s="1"/>
  <c r="P66" i="8"/>
  <c r="H66" i="8" s="1"/>
  <c r="Q66" i="8"/>
  <c r="C66" i="8"/>
  <c r="AD65" i="8"/>
  <c r="AC65" i="8"/>
  <c r="AA65" i="8"/>
  <c r="Z65" i="8"/>
  <c r="Y65" i="8"/>
  <c r="V65" i="8"/>
  <c r="T65" i="8"/>
  <c r="S65" i="8"/>
  <c r="D65" i="8"/>
  <c r="H5" i="9" s="1"/>
  <c r="K5" i="9" s="1"/>
  <c r="P64" i="8"/>
  <c r="Q64" i="8"/>
  <c r="C64" i="8"/>
  <c r="P63" i="8"/>
  <c r="Q63" i="8"/>
  <c r="L63" i="8" s="1"/>
  <c r="C63" i="8"/>
  <c r="P62" i="8"/>
  <c r="H62" i="8" s="1"/>
  <c r="Q62" i="8"/>
  <c r="C62" i="8"/>
  <c r="AD61" i="8"/>
  <c r="AC61" i="8"/>
  <c r="AA61" i="8"/>
  <c r="Z61" i="8"/>
  <c r="Y61" i="8"/>
  <c r="V61" i="8"/>
  <c r="T61" i="8"/>
  <c r="S61" i="8"/>
  <c r="D61" i="8"/>
  <c r="H4" i="9" s="1"/>
  <c r="I38" i="8"/>
  <c r="G18" i="8"/>
  <c r="W81" i="8" s="1"/>
  <c r="F18" i="8"/>
  <c r="W77" i="8" s="1"/>
  <c r="E18" i="8"/>
  <c r="W73" i="8" s="1"/>
  <c r="D18" i="8"/>
  <c r="W69" i="8" s="1"/>
  <c r="C18" i="8"/>
  <c r="W65" i="8" s="1"/>
  <c r="B18" i="8"/>
  <c r="W61" i="8" s="1"/>
  <c r="Q84" i="7"/>
  <c r="Q83" i="7"/>
  <c r="Q82" i="7"/>
  <c r="AR85" i="7"/>
  <c r="U69" i="8" l="1"/>
  <c r="H6" i="9"/>
  <c r="K6" i="9" s="1"/>
  <c r="AG73" i="8"/>
  <c r="H7" i="9"/>
  <c r="K7" i="9" s="1"/>
  <c r="K4" i="9"/>
  <c r="G66" i="8"/>
  <c r="U77" i="8"/>
  <c r="K76" i="8"/>
  <c r="E79" i="8"/>
  <c r="F79" i="8" s="1"/>
  <c r="K64" i="8"/>
  <c r="AT65" i="8"/>
  <c r="AD101" i="8"/>
  <c r="G63" i="8"/>
  <c r="AJ63" i="8"/>
  <c r="E63" i="8"/>
  <c r="F63" i="8" s="1"/>
  <c r="AT63" i="8"/>
  <c r="H76" i="8"/>
  <c r="K63" i="8"/>
  <c r="M63" i="8" s="1"/>
  <c r="N63" i="8" s="1"/>
  <c r="H64" i="8"/>
  <c r="K75" i="8"/>
  <c r="M75" i="8" s="1"/>
  <c r="N75" i="8" s="1"/>
  <c r="G79" i="8"/>
  <c r="K79" i="8"/>
  <c r="M79" i="8" s="1"/>
  <c r="N79" i="8" s="1"/>
  <c r="K83" i="8"/>
  <c r="M83" i="8" s="1"/>
  <c r="N83" i="8" s="1"/>
  <c r="AJ83" i="8"/>
  <c r="I66" i="8"/>
  <c r="J66" i="8" s="1"/>
  <c r="AJ66" i="8"/>
  <c r="E67" i="8"/>
  <c r="F67" i="8" s="1"/>
  <c r="E71" i="8"/>
  <c r="F71" i="8" s="1"/>
  <c r="H80" i="8"/>
  <c r="AG81" i="8"/>
  <c r="H83" i="8"/>
  <c r="K82" i="8"/>
  <c r="U73" i="8"/>
  <c r="U61" i="8"/>
  <c r="AJ71" i="8"/>
  <c r="AJ75" i="8"/>
  <c r="K80" i="8"/>
  <c r="AG65" i="8"/>
  <c r="K67" i="8"/>
  <c r="M67" i="8" s="1"/>
  <c r="N67" i="8" s="1"/>
  <c r="AD103" i="8"/>
  <c r="G75" i="8"/>
  <c r="AD105" i="8"/>
  <c r="K78" i="8"/>
  <c r="U65" i="8"/>
  <c r="U81" i="8"/>
  <c r="AD104" i="8"/>
  <c r="AD102" i="8"/>
  <c r="AD106" i="8"/>
  <c r="M71" i="8"/>
  <c r="N71" i="8" s="1"/>
  <c r="AG61" i="8"/>
  <c r="AG77" i="8"/>
  <c r="AL68" i="8"/>
  <c r="AG69" i="8"/>
  <c r="AJ72" i="8"/>
  <c r="G72" i="8"/>
  <c r="E72" i="8"/>
  <c r="F72" i="8" s="1"/>
  <c r="G71" i="8"/>
  <c r="H63" i="8"/>
  <c r="K62" i="8"/>
  <c r="L62" i="8"/>
  <c r="Q68" i="8"/>
  <c r="L64" i="8"/>
  <c r="L66" i="8"/>
  <c r="K66" i="8"/>
  <c r="H72" i="8"/>
  <c r="AJ74" i="8"/>
  <c r="G74" i="8"/>
  <c r="C73" i="8"/>
  <c r="AF73" i="8" s="1"/>
  <c r="G83" i="8"/>
  <c r="G84" i="8"/>
  <c r="D86" i="8"/>
  <c r="AG85" i="8" s="1"/>
  <c r="AJ62" i="8"/>
  <c r="G62" i="8"/>
  <c r="C61" i="8"/>
  <c r="AF61" i="8" s="1"/>
  <c r="E64" i="8"/>
  <c r="F64" i="8" s="1"/>
  <c r="AJ70" i="8"/>
  <c r="G70" i="8"/>
  <c r="C69" i="8"/>
  <c r="AF69" i="8" s="1"/>
  <c r="E74" i="8"/>
  <c r="F74" i="8" s="1"/>
  <c r="H79" i="8"/>
  <c r="E84" i="8"/>
  <c r="F84" i="8" s="1"/>
  <c r="E62" i="8"/>
  <c r="F62" i="8" s="1"/>
  <c r="G64" i="8"/>
  <c r="AJ64" i="8"/>
  <c r="C65" i="8"/>
  <c r="AF65" i="8" s="1"/>
  <c r="E66" i="8"/>
  <c r="F66" i="8" s="1"/>
  <c r="L69" i="8"/>
  <c r="E70" i="8"/>
  <c r="F70" i="8" s="1"/>
  <c r="K72" i="8"/>
  <c r="M72" i="8" s="1"/>
  <c r="N72" i="8" s="1"/>
  <c r="K74" i="8"/>
  <c r="H75" i="8"/>
  <c r="AJ80" i="8"/>
  <c r="G80" i="8"/>
  <c r="L80" i="8"/>
  <c r="G82" i="8"/>
  <c r="I82" i="8" s="1"/>
  <c r="J82" i="8" s="1"/>
  <c r="C81" i="8"/>
  <c r="AF81" i="8" s="1"/>
  <c r="L82" i="8"/>
  <c r="H84" i="8"/>
  <c r="I84" i="8" s="1"/>
  <c r="J84" i="8" s="1"/>
  <c r="K84" i="8"/>
  <c r="M84" i="8" s="1"/>
  <c r="N84" i="8" s="1"/>
  <c r="H68" i="8"/>
  <c r="G68" i="8"/>
  <c r="H67" i="8"/>
  <c r="K70" i="8"/>
  <c r="H71" i="8"/>
  <c r="AT61" i="8"/>
  <c r="AJ76" i="8"/>
  <c r="G76" i="8"/>
  <c r="L76" i="8"/>
  <c r="M76" i="8" s="1"/>
  <c r="N76" i="8" s="1"/>
  <c r="AJ78" i="8"/>
  <c r="G78" i="8"/>
  <c r="C77" i="8"/>
  <c r="AF77" i="8" s="1"/>
  <c r="L78" i="8"/>
  <c r="E80" i="8"/>
  <c r="F80" i="8" s="1"/>
  <c r="E82" i="8"/>
  <c r="F82" i="8" s="1"/>
  <c r="AL84" i="8"/>
  <c r="G67" i="8"/>
  <c r="AA84" i="7"/>
  <c r="R84" i="7"/>
  <c r="L84" i="7" s="1"/>
  <c r="C84" i="7"/>
  <c r="AA83" i="7"/>
  <c r="R83" i="7"/>
  <c r="L83" i="7" s="1"/>
  <c r="C83" i="7"/>
  <c r="AA82" i="7"/>
  <c r="H82" i="7" s="1"/>
  <c r="R82" i="7"/>
  <c r="L82" i="7" s="1"/>
  <c r="C82" i="7"/>
  <c r="AP81" i="7"/>
  <c r="AO81" i="7"/>
  <c r="AM81" i="7"/>
  <c r="AL81" i="7"/>
  <c r="AK81" i="7"/>
  <c r="AH81" i="7"/>
  <c r="AF81" i="7"/>
  <c r="AE81" i="7"/>
  <c r="D81" i="7"/>
  <c r="A81" i="7"/>
  <c r="AA80" i="7"/>
  <c r="R80" i="7"/>
  <c r="L80" i="7" s="1"/>
  <c r="C80" i="7"/>
  <c r="AA79" i="7"/>
  <c r="R79" i="7"/>
  <c r="L79" i="7" s="1"/>
  <c r="C79" i="7"/>
  <c r="AA78" i="7"/>
  <c r="H78" i="7" s="1"/>
  <c r="R78" i="7"/>
  <c r="L78" i="7" s="1"/>
  <c r="C78" i="7"/>
  <c r="Q78" i="7" s="1"/>
  <c r="AP77" i="7"/>
  <c r="AO77" i="7"/>
  <c r="AM77" i="7"/>
  <c r="AL77" i="7"/>
  <c r="AK77" i="7"/>
  <c r="AH77" i="7"/>
  <c r="AF77" i="7"/>
  <c r="AE77" i="7"/>
  <c r="D77" i="7"/>
  <c r="A77" i="7"/>
  <c r="AA76" i="7"/>
  <c r="R76" i="7"/>
  <c r="C76" i="7"/>
  <c r="AA75" i="7"/>
  <c r="R75" i="7"/>
  <c r="C75" i="7"/>
  <c r="AA74" i="7"/>
  <c r="H74" i="7" s="1"/>
  <c r="R74" i="7"/>
  <c r="C74" i="7"/>
  <c r="Q74" i="7" s="1"/>
  <c r="AP73" i="7"/>
  <c r="AO73" i="7"/>
  <c r="AM73" i="7"/>
  <c r="AL73" i="7"/>
  <c r="AK73" i="7"/>
  <c r="AH73" i="7"/>
  <c r="AF73" i="7"/>
  <c r="AE73" i="7"/>
  <c r="D73" i="7"/>
  <c r="A73" i="7"/>
  <c r="AA72" i="7"/>
  <c r="R72" i="7"/>
  <c r="C72" i="7"/>
  <c r="AA71" i="7"/>
  <c r="H71" i="7" s="1"/>
  <c r="R71" i="7"/>
  <c r="C71" i="7"/>
  <c r="AA70" i="7"/>
  <c r="H70" i="7" s="1"/>
  <c r="R70" i="7"/>
  <c r="C70" i="7"/>
  <c r="Q70" i="7" s="1"/>
  <c r="AP69" i="7"/>
  <c r="AO69" i="7"/>
  <c r="AM69" i="7"/>
  <c r="AL69" i="7"/>
  <c r="AK69" i="7"/>
  <c r="AH69" i="7"/>
  <c r="AF69" i="7"/>
  <c r="AE69" i="7"/>
  <c r="D69" i="7"/>
  <c r="AA68" i="7"/>
  <c r="E68" i="7"/>
  <c r="AA67" i="7"/>
  <c r="R67" i="7"/>
  <c r="L67" i="7"/>
  <c r="C67" i="7"/>
  <c r="AA66" i="7"/>
  <c r="H66" i="7" s="1"/>
  <c r="R66" i="7"/>
  <c r="L66" i="7"/>
  <c r="C66" i="7"/>
  <c r="Q66" i="7" s="1"/>
  <c r="AP65" i="7"/>
  <c r="AO65" i="7"/>
  <c r="AM65" i="7"/>
  <c r="AS65" i="7" s="1"/>
  <c r="AL65" i="7"/>
  <c r="AK65" i="7"/>
  <c r="AH65" i="7"/>
  <c r="AF65" i="7"/>
  <c r="AE65" i="7"/>
  <c r="D65" i="7"/>
  <c r="AA64" i="7"/>
  <c r="R64" i="7"/>
  <c r="C64" i="7"/>
  <c r="AA63" i="7"/>
  <c r="R63" i="7"/>
  <c r="L63" i="7"/>
  <c r="C63" i="7"/>
  <c r="AA62" i="7"/>
  <c r="R62" i="7"/>
  <c r="L62" i="7"/>
  <c r="K62" i="7"/>
  <c r="E62" i="7"/>
  <c r="F62" i="7" s="1"/>
  <c r="C62" i="7"/>
  <c r="Q62" i="7" s="1"/>
  <c r="AP61" i="7"/>
  <c r="AO61" i="7"/>
  <c r="AM61" i="7"/>
  <c r="AL61" i="7"/>
  <c r="AK61" i="7"/>
  <c r="AH61" i="7"/>
  <c r="AF61" i="7"/>
  <c r="AE61" i="7"/>
  <c r="D61" i="7"/>
  <c r="I38" i="7"/>
  <c r="G18" i="7"/>
  <c r="AI81" i="7" s="1"/>
  <c r="F18" i="7"/>
  <c r="AI77" i="7" s="1"/>
  <c r="E18" i="7"/>
  <c r="AI73" i="7" s="1"/>
  <c r="D18" i="7"/>
  <c r="AI69" i="7" s="1"/>
  <c r="C18" i="7"/>
  <c r="AI65" i="7" s="1"/>
  <c r="B18" i="7"/>
  <c r="AI61" i="7" s="1"/>
  <c r="B50" i="6"/>
  <c r="H10" i="9" l="1"/>
  <c r="K10" i="9" s="1"/>
  <c r="M80" i="8"/>
  <c r="N80" i="8" s="1"/>
  <c r="K77" i="8"/>
  <c r="K73" i="8"/>
  <c r="I72" i="8"/>
  <c r="J72" i="8" s="1"/>
  <c r="I76" i="8"/>
  <c r="J76" i="8" s="1"/>
  <c r="K61" i="8"/>
  <c r="I80" i="8"/>
  <c r="J80" i="8" s="1"/>
  <c r="M64" i="8"/>
  <c r="N64" i="8" s="1"/>
  <c r="I64" i="8"/>
  <c r="J64" i="8" s="1"/>
  <c r="G73" i="8"/>
  <c r="G65" i="8"/>
  <c r="I79" i="8"/>
  <c r="J79" i="8" s="1"/>
  <c r="I83" i="8"/>
  <c r="J83" i="8" s="1"/>
  <c r="I63" i="8"/>
  <c r="J63" i="8" s="1"/>
  <c r="E73" i="8"/>
  <c r="F73" i="8" s="1"/>
  <c r="K81" i="8"/>
  <c r="G69" i="8"/>
  <c r="G61" i="8"/>
  <c r="M74" i="8"/>
  <c r="N74" i="8" s="1"/>
  <c r="G77" i="8"/>
  <c r="H77" i="8"/>
  <c r="H81" i="8"/>
  <c r="M78" i="8"/>
  <c r="N78" i="8" s="1"/>
  <c r="L77" i="8"/>
  <c r="M77" i="8" s="1"/>
  <c r="N77" i="8" s="1"/>
  <c r="I67" i="8"/>
  <c r="J67" i="8" s="1"/>
  <c r="AJ81" i="8"/>
  <c r="C86" i="8"/>
  <c r="AF85" i="8" s="1"/>
  <c r="E81" i="8"/>
  <c r="AJ65" i="8"/>
  <c r="AJ69" i="8"/>
  <c r="E69" i="8"/>
  <c r="F69" i="8" s="1"/>
  <c r="AJ61" i="8"/>
  <c r="L61" i="8"/>
  <c r="M61" i="8" s="1"/>
  <c r="N61" i="8" s="1"/>
  <c r="M62" i="8"/>
  <c r="N62" i="8" s="1"/>
  <c r="AJ77" i="8"/>
  <c r="G81" i="8"/>
  <c r="I75" i="8"/>
  <c r="J75" i="8" s="1"/>
  <c r="H73" i="8"/>
  <c r="I73" i="8" s="1"/>
  <c r="J73" i="8" s="1"/>
  <c r="E65" i="8"/>
  <c r="F65" i="8" s="1"/>
  <c r="E61" i="8"/>
  <c r="F61" i="8" s="1"/>
  <c r="L73" i="8"/>
  <c r="I74" i="8"/>
  <c r="J74" i="8" s="1"/>
  <c r="M66" i="8"/>
  <c r="N66" i="8" s="1"/>
  <c r="I70" i="8"/>
  <c r="J70" i="8" s="1"/>
  <c r="I71" i="8"/>
  <c r="J71" i="8" s="1"/>
  <c r="H69" i="8"/>
  <c r="H65" i="8"/>
  <c r="I65" i="8" s="1"/>
  <c r="J65" i="8" s="1"/>
  <c r="I62" i="8"/>
  <c r="J62" i="8" s="1"/>
  <c r="K69" i="8"/>
  <c r="I68" i="8"/>
  <c r="M82" i="8"/>
  <c r="N82" i="8" s="1"/>
  <c r="L81" i="8"/>
  <c r="E77" i="8"/>
  <c r="F77" i="8" s="1"/>
  <c r="AJ73" i="8"/>
  <c r="M70" i="8"/>
  <c r="N70" i="8" s="1"/>
  <c r="L68" i="8"/>
  <c r="K68" i="8"/>
  <c r="K65" i="8" s="1"/>
  <c r="I78" i="8"/>
  <c r="J78" i="8" s="1"/>
  <c r="H61" i="8"/>
  <c r="AP91" i="7"/>
  <c r="AP104" i="7"/>
  <c r="AP90" i="7"/>
  <c r="AP103" i="7"/>
  <c r="T68" i="7"/>
  <c r="AP102" i="7"/>
  <c r="AP89" i="7"/>
  <c r="T84" i="7"/>
  <c r="AP106" i="7"/>
  <c r="AP93" i="7"/>
  <c r="AP88" i="7"/>
  <c r="AP101" i="7"/>
  <c r="AP92" i="7"/>
  <c r="AP105" i="7"/>
  <c r="Q63" i="7"/>
  <c r="G63" i="7"/>
  <c r="Q64" i="7"/>
  <c r="AS61" i="7"/>
  <c r="G64" i="7"/>
  <c r="G84" i="7"/>
  <c r="AS81" i="7"/>
  <c r="G68" i="7"/>
  <c r="H68" i="7"/>
  <c r="Q72" i="7"/>
  <c r="AS69" i="7"/>
  <c r="G72" i="7"/>
  <c r="Q75" i="7"/>
  <c r="G75" i="7"/>
  <c r="Q79" i="7"/>
  <c r="G79" i="7"/>
  <c r="Q80" i="7"/>
  <c r="AS77" i="7"/>
  <c r="G80" i="7"/>
  <c r="G83" i="7"/>
  <c r="H64" i="7"/>
  <c r="I64" i="7" s="1"/>
  <c r="J64" i="7" s="1"/>
  <c r="G71" i="7"/>
  <c r="H76" i="7"/>
  <c r="I76" i="7" s="1"/>
  <c r="J76" i="7" s="1"/>
  <c r="H84" i="7"/>
  <c r="I84" i="7" s="1"/>
  <c r="J84" i="7" s="1"/>
  <c r="Q67" i="7"/>
  <c r="G67" i="7"/>
  <c r="Q76" i="7"/>
  <c r="G76" i="7"/>
  <c r="AS73" i="7"/>
  <c r="H79" i="7"/>
  <c r="I79" i="7" s="1"/>
  <c r="J79" i="7" s="1"/>
  <c r="H63" i="7"/>
  <c r="H67" i="7"/>
  <c r="H72" i="7"/>
  <c r="I72" i="7" s="1"/>
  <c r="J72" i="7" s="1"/>
  <c r="H75" i="7"/>
  <c r="I75" i="7" s="1"/>
  <c r="J75" i="7" s="1"/>
  <c r="H80" i="7"/>
  <c r="H83" i="7"/>
  <c r="H81" i="7" s="1"/>
  <c r="Q71" i="7"/>
  <c r="K63" i="7"/>
  <c r="M63" i="7" s="1"/>
  <c r="N63" i="7" s="1"/>
  <c r="K75" i="7"/>
  <c r="K74" i="7"/>
  <c r="E63" i="7"/>
  <c r="F63" i="7" s="1"/>
  <c r="K76" i="7"/>
  <c r="AG73" i="7"/>
  <c r="M62" i="7"/>
  <c r="N62" i="7" s="1"/>
  <c r="L81" i="7"/>
  <c r="L77" i="7"/>
  <c r="AH59" i="7"/>
  <c r="AG69" i="7"/>
  <c r="AG65" i="7"/>
  <c r="AK59" i="7"/>
  <c r="AM59" i="7"/>
  <c r="AG81" i="7"/>
  <c r="AG77" i="7"/>
  <c r="AP59" i="7"/>
  <c r="AC65" i="7"/>
  <c r="K71" i="7"/>
  <c r="L71" i="7"/>
  <c r="E79" i="7"/>
  <c r="F79" i="7" s="1"/>
  <c r="E80" i="7"/>
  <c r="F80" i="7" s="1"/>
  <c r="K70" i="7"/>
  <c r="L70" i="7"/>
  <c r="K72" i="7"/>
  <c r="L72" i="7"/>
  <c r="H62" i="7"/>
  <c r="AC61" i="7"/>
  <c r="AG61" i="7"/>
  <c r="AF59" i="7"/>
  <c r="R68" i="7"/>
  <c r="K64" i="7"/>
  <c r="L64" i="7"/>
  <c r="G66" i="7"/>
  <c r="I66" i="7" s="1"/>
  <c r="J66" i="7" s="1"/>
  <c r="E66" i="7"/>
  <c r="F66" i="7" s="1"/>
  <c r="C65" i="7"/>
  <c r="E67" i="7"/>
  <c r="F67" i="7" s="1"/>
  <c r="G62" i="7"/>
  <c r="G78" i="7"/>
  <c r="I78" i="7" s="1"/>
  <c r="J78" i="7" s="1"/>
  <c r="E78" i="7"/>
  <c r="F78" i="7" s="1"/>
  <c r="C77" i="7"/>
  <c r="AI59" i="7"/>
  <c r="K78" i="7"/>
  <c r="K79" i="7"/>
  <c r="M79" i="7" s="1"/>
  <c r="N79" i="7" s="1"/>
  <c r="K80" i="7"/>
  <c r="M80" i="7" s="1"/>
  <c r="N80" i="7" s="1"/>
  <c r="K84" i="7"/>
  <c r="M84" i="7" s="1"/>
  <c r="N84" i="7" s="1"/>
  <c r="AO59" i="7"/>
  <c r="D86" i="7"/>
  <c r="E82" i="7"/>
  <c r="F82" i="7" s="1"/>
  <c r="C81" i="7"/>
  <c r="G82" i="7"/>
  <c r="I82" i="7" s="1"/>
  <c r="J82" i="7" s="1"/>
  <c r="E83" i="7"/>
  <c r="F83" i="7" s="1"/>
  <c r="E84" i="7"/>
  <c r="F84" i="7" s="1"/>
  <c r="AC63" i="7"/>
  <c r="G70" i="7"/>
  <c r="I70" i="7" s="1"/>
  <c r="J70" i="7" s="1"/>
  <c r="E70" i="7"/>
  <c r="F70" i="7" s="1"/>
  <c r="C69" i="7"/>
  <c r="E71" i="7"/>
  <c r="F71" i="7" s="1"/>
  <c r="I71" i="7"/>
  <c r="J71" i="7" s="1"/>
  <c r="E72" i="7"/>
  <c r="F72" i="7" s="1"/>
  <c r="AE59" i="7"/>
  <c r="E64" i="7"/>
  <c r="F64" i="7" s="1"/>
  <c r="C61" i="7"/>
  <c r="K66" i="7"/>
  <c r="M66" i="7" s="1"/>
  <c r="N66" i="7" s="1"/>
  <c r="K67" i="7"/>
  <c r="M67" i="7" s="1"/>
  <c r="N67" i="7" s="1"/>
  <c r="AL59" i="7"/>
  <c r="E74" i="7"/>
  <c r="F74" i="7" s="1"/>
  <c r="C73" i="7"/>
  <c r="G74" i="7"/>
  <c r="L74" i="7"/>
  <c r="E75" i="7"/>
  <c r="F75" i="7" s="1"/>
  <c r="L75" i="7"/>
  <c r="M75" i="7" s="1"/>
  <c r="N75" i="7" s="1"/>
  <c r="E76" i="7"/>
  <c r="F76" i="7" s="1"/>
  <c r="L76" i="7"/>
  <c r="K82" i="7"/>
  <c r="M82" i="7" s="1"/>
  <c r="N82" i="7" s="1"/>
  <c r="K83" i="7"/>
  <c r="M83" i="7" s="1"/>
  <c r="N83" i="7" s="1"/>
  <c r="S84" i="6"/>
  <c r="R84" i="6"/>
  <c r="L84" i="6"/>
  <c r="M84" i="6" s="1"/>
  <c r="N84" i="6" s="1"/>
  <c r="K84" i="6"/>
  <c r="E84" i="6"/>
  <c r="F84" i="6" s="1"/>
  <c r="C84" i="6"/>
  <c r="S83" i="6"/>
  <c r="R83" i="6"/>
  <c r="L83" i="6"/>
  <c r="K83" i="6"/>
  <c r="C83" i="6"/>
  <c r="E83" i="6" s="1"/>
  <c r="F83" i="6" s="1"/>
  <c r="S82" i="6"/>
  <c r="L82" i="6"/>
  <c r="K82" i="6"/>
  <c r="K81" i="6" s="1"/>
  <c r="C82" i="6"/>
  <c r="E82" i="6" s="1"/>
  <c r="F82" i="6" s="1"/>
  <c r="AH81" i="6"/>
  <c r="AG81" i="6"/>
  <c r="AF81" i="6"/>
  <c r="AE81" i="6"/>
  <c r="AD81" i="6"/>
  <c r="H82" i="6" s="1"/>
  <c r="AB81" i="6"/>
  <c r="AA81" i="6"/>
  <c r="Z81" i="6"/>
  <c r="Z59" i="6" s="1"/>
  <c r="Y81" i="6"/>
  <c r="X81" i="6"/>
  <c r="W81" i="6"/>
  <c r="D81" i="6"/>
  <c r="A81" i="6"/>
  <c r="S80" i="6"/>
  <c r="R80" i="6"/>
  <c r="L80" i="6"/>
  <c r="K80" i="6"/>
  <c r="H80" i="6"/>
  <c r="G80" i="6"/>
  <c r="C80" i="6"/>
  <c r="E80" i="6" s="1"/>
  <c r="F80" i="6" s="1"/>
  <c r="S79" i="6"/>
  <c r="L79" i="6"/>
  <c r="K79" i="6"/>
  <c r="C79" i="6"/>
  <c r="E79" i="6" s="1"/>
  <c r="F79" i="6" s="1"/>
  <c r="S78" i="6"/>
  <c r="K78" i="6" s="1"/>
  <c r="K77" i="6" s="1"/>
  <c r="H78" i="6"/>
  <c r="C78" i="6"/>
  <c r="AH77" i="6"/>
  <c r="AG77" i="6"/>
  <c r="AF77" i="6"/>
  <c r="AE77" i="6"/>
  <c r="H79" i="6" s="1"/>
  <c r="AD77" i="6"/>
  <c r="AB77" i="6"/>
  <c r="AA77" i="6"/>
  <c r="Z77" i="6"/>
  <c r="Y77" i="6"/>
  <c r="X77" i="6"/>
  <c r="W77" i="6"/>
  <c r="D77" i="6"/>
  <c r="A77" i="6"/>
  <c r="S76" i="6"/>
  <c r="L76" i="6"/>
  <c r="K76" i="6"/>
  <c r="H76" i="6"/>
  <c r="C76" i="6"/>
  <c r="E76" i="6" s="1"/>
  <c r="F76" i="6" s="1"/>
  <c r="S75" i="6"/>
  <c r="K75" i="6" s="1"/>
  <c r="K73" i="6" s="1"/>
  <c r="H75" i="6"/>
  <c r="C75" i="6"/>
  <c r="S74" i="6"/>
  <c r="R74" i="6"/>
  <c r="L74" i="6"/>
  <c r="M74" i="6" s="1"/>
  <c r="N74" i="6" s="1"/>
  <c r="K74" i="6"/>
  <c r="E74" i="6"/>
  <c r="F74" i="6" s="1"/>
  <c r="C74" i="6"/>
  <c r="AH73" i="6"/>
  <c r="AG73" i="6"/>
  <c r="AG59" i="6" s="1"/>
  <c r="AF73" i="6"/>
  <c r="AE73" i="6"/>
  <c r="AD73" i="6"/>
  <c r="H74" i="6" s="1"/>
  <c r="AC73" i="6"/>
  <c r="AB73" i="6"/>
  <c r="AA73" i="6"/>
  <c r="Z73" i="6"/>
  <c r="Y73" i="6"/>
  <c r="X73" i="6"/>
  <c r="W73" i="6"/>
  <c r="D73" i="6"/>
  <c r="A73" i="6"/>
  <c r="S72" i="6"/>
  <c r="L72" i="6"/>
  <c r="C72" i="6"/>
  <c r="R72" i="6" s="1"/>
  <c r="S71" i="6"/>
  <c r="R71" i="6"/>
  <c r="L71" i="6"/>
  <c r="M71" i="6" s="1"/>
  <c r="N71" i="6" s="1"/>
  <c r="K71" i="6"/>
  <c r="E71" i="6"/>
  <c r="F71" i="6" s="1"/>
  <c r="C71" i="6"/>
  <c r="S70" i="6"/>
  <c r="L70" i="6" s="1"/>
  <c r="R70" i="6"/>
  <c r="K70" i="6"/>
  <c r="C70" i="6"/>
  <c r="E70" i="6" s="1"/>
  <c r="F70" i="6" s="1"/>
  <c r="AH69" i="6"/>
  <c r="G72" i="6" s="1"/>
  <c r="AG69" i="6"/>
  <c r="AF69" i="6"/>
  <c r="AE69" i="6"/>
  <c r="H71" i="6" s="1"/>
  <c r="AD69" i="6"/>
  <c r="H70" i="6" s="1"/>
  <c r="AB69" i="6"/>
  <c r="AA69" i="6"/>
  <c r="Z69" i="6"/>
  <c r="Y69" i="6"/>
  <c r="X69" i="6"/>
  <c r="W69" i="6"/>
  <c r="D69" i="6"/>
  <c r="S68" i="6"/>
  <c r="L68" i="6" s="1"/>
  <c r="E68" i="6"/>
  <c r="S67" i="6"/>
  <c r="K67" i="6" s="1"/>
  <c r="H67" i="6"/>
  <c r="C67" i="6"/>
  <c r="S66" i="6"/>
  <c r="R66" i="6"/>
  <c r="L66" i="6"/>
  <c r="M66" i="6" s="1"/>
  <c r="N66" i="6" s="1"/>
  <c r="K66" i="6"/>
  <c r="E66" i="6"/>
  <c r="F66" i="6" s="1"/>
  <c r="C66" i="6"/>
  <c r="AH65" i="6"/>
  <c r="H68" i="6" s="1"/>
  <c r="AG65" i="6"/>
  <c r="AF65" i="6"/>
  <c r="AE65" i="6"/>
  <c r="AD65" i="6"/>
  <c r="H66" i="6" s="1"/>
  <c r="AC65" i="6"/>
  <c r="AB65" i="6"/>
  <c r="AA65" i="6"/>
  <c r="Z65" i="6"/>
  <c r="Y65" i="6"/>
  <c r="X65" i="6"/>
  <c r="W65" i="6"/>
  <c r="D65" i="6"/>
  <c r="S64" i="6"/>
  <c r="L64" i="6"/>
  <c r="K64" i="6"/>
  <c r="H64" i="6"/>
  <c r="C64" i="6"/>
  <c r="E64" i="6" s="1"/>
  <c r="F64" i="6" s="1"/>
  <c r="S63" i="6"/>
  <c r="K63" i="6" s="1"/>
  <c r="K61" i="6" s="1"/>
  <c r="H63" i="6"/>
  <c r="C63" i="6"/>
  <c r="S62" i="6"/>
  <c r="R62" i="6"/>
  <c r="L62" i="6"/>
  <c r="M62" i="6" s="1"/>
  <c r="N62" i="6" s="1"/>
  <c r="K62" i="6"/>
  <c r="E62" i="6"/>
  <c r="F62" i="6" s="1"/>
  <c r="C62" i="6"/>
  <c r="AH61" i="6"/>
  <c r="AG61" i="6"/>
  <c r="AF61" i="6"/>
  <c r="AE61" i="6"/>
  <c r="AD61" i="6"/>
  <c r="H62" i="6" s="1"/>
  <c r="AB61" i="6"/>
  <c r="AA61" i="6"/>
  <c r="Z61" i="6"/>
  <c r="Y61" i="6"/>
  <c r="X61" i="6"/>
  <c r="W61" i="6"/>
  <c r="D61" i="6"/>
  <c r="AA59" i="6"/>
  <c r="Y59" i="6"/>
  <c r="W59" i="6"/>
  <c r="I38" i="6"/>
  <c r="G18" i="6"/>
  <c r="AC81" i="6" s="1"/>
  <c r="F18" i="6"/>
  <c r="AC77" i="6" s="1"/>
  <c r="E18" i="6"/>
  <c r="D18" i="6"/>
  <c r="AC69" i="6" s="1"/>
  <c r="C18" i="6"/>
  <c r="B18" i="6"/>
  <c r="AC61" i="6" s="1"/>
  <c r="Q83" i="5"/>
  <c r="L83" i="5" s="1"/>
  <c r="C83" i="5"/>
  <c r="Q82" i="5"/>
  <c r="L82" i="5" s="1"/>
  <c r="C82" i="5"/>
  <c r="Q81" i="5"/>
  <c r="L81" i="5" s="1"/>
  <c r="C81" i="5"/>
  <c r="E81" i="5" s="1"/>
  <c r="F81" i="5" s="1"/>
  <c r="P83" i="5"/>
  <c r="T80" i="5"/>
  <c r="S80" i="5"/>
  <c r="P82" i="5"/>
  <c r="P81" i="5"/>
  <c r="H81" i="5" s="1"/>
  <c r="AG80" i="5"/>
  <c r="AE80" i="5"/>
  <c r="AD80" i="5"/>
  <c r="AL80" i="5"/>
  <c r="AK80" i="5"/>
  <c r="AJ80" i="5"/>
  <c r="D80" i="5"/>
  <c r="G9" i="9" s="1"/>
  <c r="J9" i="9" s="1"/>
  <c r="A80" i="5"/>
  <c r="Q79" i="5"/>
  <c r="L79" i="5" s="1"/>
  <c r="C79" i="5"/>
  <c r="Q78" i="5"/>
  <c r="L78" i="5" s="1"/>
  <c r="C78" i="5"/>
  <c r="Q77" i="5"/>
  <c r="L77" i="5" s="1"/>
  <c r="C77" i="5"/>
  <c r="P79" i="5"/>
  <c r="T76" i="5"/>
  <c r="S76" i="5"/>
  <c r="P78" i="5"/>
  <c r="P77" i="5"/>
  <c r="H77" i="5" s="1"/>
  <c r="AG76" i="5"/>
  <c r="AE76" i="5"/>
  <c r="AD76" i="5"/>
  <c r="AL76" i="5"/>
  <c r="AK76" i="5"/>
  <c r="AJ76" i="5"/>
  <c r="D76" i="5"/>
  <c r="G8" i="9" s="1"/>
  <c r="J8" i="9" s="1"/>
  <c r="A76" i="5"/>
  <c r="Q75" i="5"/>
  <c r="L75" i="5" s="1"/>
  <c r="C75" i="5"/>
  <c r="Q74" i="5"/>
  <c r="L74" i="5" s="1"/>
  <c r="C74" i="5"/>
  <c r="Q73" i="5"/>
  <c r="C73" i="5"/>
  <c r="W73" i="5" s="1"/>
  <c r="P75" i="5"/>
  <c r="T72" i="5"/>
  <c r="S72" i="5"/>
  <c r="P74" i="5"/>
  <c r="P73" i="5"/>
  <c r="H73" i="5" s="1"/>
  <c r="AG72" i="5"/>
  <c r="AE72" i="5"/>
  <c r="AD72" i="5"/>
  <c r="AL72" i="5"/>
  <c r="AK72" i="5"/>
  <c r="AJ72" i="5"/>
  <c r="D72" i="5"/>
  <c r="G7" i="9" s="1"/>
  <c r="J7" i="9" s="1"/>
  <c r="A72" i="5"/>
  <c r="Q71" i="5"/>
  <c r="C71" i="5"/>
  <c r="Q70" i="5"/>
  <c r="L70" i="5" s="1"/>
  <c r="C70" i="5"/>
  <c r="Q69" i="5"/>
  <c r="L69" i="5" s="1"/>
  <c r="C69" i="5"/>
  <c r="W69" i="5" s="1"/>
  <c r="P71" i="5"/>
  <c r="T68" i="5"/>
  <c r="S68" i="5"/>
  <c r="P70" i="5"/>
  <c r="P69" i="5"/>
  <c r="H69" i="5" s="1"/>
  <c r="AG68" i="5"/>
  <c r="AE68" i="5"/>
  <c r="AD68" i="5"/>
  <c r="AL68" i="5"/>
  <c r="AK68" i="5"/>
  <c r="AJ68" i="5"/>
  <c r="D68" i="5"/>
  <c r="G6" i="9" s="1"/>
  <c r="J6" i="9" s="1"/>
  <c r="E67" i="5"/>
  <c r="Q66" i="5"/>
  <c r="C66" i="5"/>
  <c r="Q65" i="5"/>
  <c r="C65" i="5"/>
  <c r="W65" i="5" s="1"/>
  <c r="P67" i="5"/>
  <c r="T64" i="5"/>
  <c r="S64" i="5"/>
  <c r="P66" i="5"/>
  <c r="P65" i="5"/>
  <c r="H65" i="5" s="1"/>
  <c r="AG64" i="5"/>
  <c r="AE64" i="5"/>
  <c r="AD64" i="5"/>
  <c r="AL64" i="5"/>
  <c r="AK64" i="5"/>
  <c r="AJ64" i="5"/>
  <c r="D64" i="5"/>
  <c r="G5" i="9" s="1"/>
  <c r="J5" i="9" s="1"/>
  <c r="Q63" i="5"/>
  <c r="L63" i="5" s="1"/>
  <c r="C63" i="5"/>
  <c r="Q62" i="5"/>
  <c r="C62" i="5"/>
  <c r="Q61" i="5"/>
  <c r="L61" i="5"/>
  <c r="C61" i="5"/>
  <c r="W61" i="5" s="1"/>
  <c r="P63" i="5"/>
  <c r="T60" i="5"/>
  <c r="S60" i="5"/>
  <c r="P62" i="5"/>
  <c r="P61" i="5"/>
  <c r="H61" i="5" s="1"/>
  <c r="AG60" i="5"/>
  <c r="AE60" i="5"/>
  <c r="AD60" i="5"/>
  <c r="AL60" i="5"/>
  <c r="AK60" i="5"/>
  <c r="AJ60" i="5"/>
  <c r="D60" i="5"/>
  <c r="G4" i="9" s="1"/>
  <c r="I38" i="5"/>
  <c r="G18" i="5"/>
  <c r="AH80" i="5" s="1"/>
  <c r="F18" i="5"/>
  <c r="AH76" i="5" s="1"/>
  <c r="E18" i="5"/>
  <c r="AH72" i="5" s="1"/>
  <c r="D18" i="5"/>
  <c r="AH68" i="5" s="1"/>
  <c r="C18" i="5"/>
  <c r="AH64" i="5" s="1"/>
  <c r="B18" i="5"/>
  <c r="AH60" i="5" s="1"/>
  <c r="K79" i="1"/>
  <c r="K74" i="1"/>
  <c r="K69" i="1"/>
  <c r="K62" i="1"/>
  <c r="E81" i="1"/>
  <c r="F81" i="1" s="1"/>
  <c r="E75" i="1"/>
  <c r="F75" i="1" s="1"/>
  <c r="E70" i="1"/>
  <c r="F70" i="1" s="1"/>
  <c r="E67" i="1"/>
  <c r="D80" i="1"/>
  <c r="D76" i="1"/>
  <c r="D72" i="1"/>
  <c r="D68" i="1"/>
  <c r="D64" i="1"/>
  <c r="D60" i="1"/>
  <c r="S83" i="1"/>
  <c r="L83" i="1" s="1"/>
  <c r="S82" i="1"/>
  <c r="L82" i="1" s="1"/>
  <c r="S81" i="1"/>
  <c r="L81" i="1" s="1"/>
  <c r="S79" i="1"/>
  <c r="L79" i="1" s="1"/>
  <c r="S78" i="1"/>
  <c r="L78" i="1" s="1"/>
  <c r="S77" i="1"/>
  <c r="L77" i="1" s="1"/>
  <c r="S75" i="1"/>
  <c r="L75" i="1" s="1"/>
  <c r="L72" i="1" s="1"/>
  <c r="S74" i="1"/>
  <c r="L74" i="1" s="1"/>
  <c r="S73" i="1"/>
  <c r="L73" i="1" s="1"/>
  <c r="S71" i="1"/>
  <c r="L71" i="1" s="1"/>
  <c r="S70" i="1"/>
  <c r="L70" i="1" s="1"/>
  <c r="S69" i="1"/>
  <c r="L69" i="1" s="1"/>
  <c r="S66" i="1"/>
  <c r="L66" i="1" s="1"/>
  <c r="S65" i="1"/>
  <c r="L65" i="1" s="1"/>
  <c r="S63" i="1"/>
  <c r="S67" i="1" s="1"/>
  <c r="L67" i="1" s="1"/>
  <c r="S62" i="1"/>
  <c r="L62" i="1" s="1"/>
  <c r="S61" i="1"/>
  <c r="L61" i="1" s="1"/>
  <c r="C83" i="1"/>
  <c r="R83" i="1" s="1"/>
  <c r="C82" i="1"/>
  <c r="E82" i="1" s="1"/>
  <c r="F82" i="1" s="1"/>
  <c r="C81" i="1"/>
  <c r="R81" i="1" s="1"/>
  <c r="C79" i="1"/>
  <c r="R79" i="1" s="1"/>
  <c r="C78" i="1"/>
  <c r="R78" i="1" s="1"/>
  <c r="C77" i="1"/>
  <c r="R77" i="1" s="1"/>
  <c r="C75" i="1"/>
  <c r="R75" i="1" s="1"/>
  <c r="C74" i="1"/>
  <c r="R74" i="1" s="1"/>
  <c r="C73" i="1"/>
  <c r="E73" i="1" s="1"/>
  <c r="F73" i="1" s="1"/>
  <c r="C71" i="1"/>
  <c r="R71" i="1" s="1"/>
  <c r="C70" i="1"/>
  <c r="R70" i="1" s="1"/>
  <c r="C69" i="1"/>
  <c r="R69" i="1" s="1"/>
  <c r="C66" i="1"/>
  <c r="E66" i="1" s="1"/>
  <c r="F66" i="1" s="1"/>
  <c r="C65" i="1"/>
  <c r="R65" i="1" s="1"/>
  <c r="C63" i="1"/>
  <c r="R63" i="1" s="1"/>
  <c r="C62" i="1"/>
  <c r="R62" i="1" s="1"/>
  <c r="C61" i="1"/>
  <c r="E61" i="1" s="1"/>
  <c r="F61" i="1" s="1"/>
  <c r="AH80" i="1"/>
  <c r="H83" i="1" s="1"/>
  <c r="AG80" i="1"/>
  <c r="AF80" i="1"/>
  <c r="AE80" i="1"/>
  <c r="AD80" i="1"/>
  <c r="H81" i="1" s="1"/>
  <c r="AB80" i="1"/>
  <c r="AA80" i="1"/>
  <c r="Z80" i="1"/>
  <c r="Y80" i="1"/>
  <c r="X80" i="1"/>
  <c r="W80" i="1"/>
  <c r="AH76" i="1"/>
  <c r="H79" i="1" s="1"/>
  <c r="AG76" i="1"/>
  <c r="AF76" i="1"/>
  <c r="AE76" i="1"/>
  <c r="AD76" i="1"/>
  <c r="AB76" i="1"/>
  <c r="AA76" i="1"/>
  <c r="Z76" i="1"/>
  <c r="Y76" i="1"/>
  <c r="X76" i="1"/>
  <c r="W76" i="1"/>
  <c r="AH72" i="1"/>
  <c r="H75" i="1" s="1"/>
  <c r="AG72" i="1"/>
  <c r="AF72" i="1"/>
  <c r="AE72" i="1"/>
  <c r="H74" i="1" s="1"/>
  <c r="AD72" i="1"/>
  <c r="H73" i="1" s="1"/>
  <c r="AB72" i="1"/>
  <c r="AA72" i="1"/>
  <c r="Z72" i="1"/>
  <c r="Y72" i="1"/>
  <c r="X72" i="1"/>
  <c r="W72" i="1"/>
  <c r="AH68" i="1"/>
  <c r="AG68" i="1"/>
  <c r="AF68" i="1"/>
  <c r="AE68" i="1"/>
  <c r="H70" i="1" s="1"/>
  <c r="AD68" i="1"/>
  <c r="H69" i="1" s="1"/>
  <c r="AB68" i="1"/>
  <c r="AA68" i="1"/>
  <c r="Z68" i="1"/>
  <c r="Y68" i="1"/>
  <c r="X68" i="1"/>
  <c r="W68" i="1"/>
  <c r="AH64" i="1"/>
  <c r="H67" i="1" s="1"/>
  <c r="AG64" i="1"/>
  <c r="AF64" i="1"/>
  <c r="AE64" i="1"/>
  <c r="G66" i="1" s="1"/>
  <c r="AD64" i="1"/>
  <c r="H65" i="1" s="1"/>
  <c r="AB64" i="1"/>
  <c r="AA64" i="1"/>
  <c r="Z64" i="1"/>
  <c r="Y64" i="1"/>
  <c r="X64" i="1"/>
  <c r="W64" i="1"/>
  <c r="AH60" i="1"/>
  <c r="H63" i="1" s="1"/>
  <c r="AG60" i="1"/>
  <c r="AF60" i="1"/>
  <c r="AE60" i="1"/>
  <c r="H62" i="1" s="1"/>
  <c r="AD60" i="1"/>
  <c r="H61" i="1" s="1"/>
  <c r="AB60" i="1"/>
  <c r="AA60" i="1"/>
  <c r="Z60" i="1"/>
  <c r="Y60" i="1"/>
  <c r="X60" i="1"/>
  <c r="W60" i="1"/>
  <c r="A80" i="1"/>
  <c r="A76" i="1"/>
  <c r="A72" i="1"/>
  <c r="G18" i="1"/>
  <c r="AC80" i="1" s="1"/>
  <c r="F18" i="1"/>
  <c r="AC76" i="1" s="1"/>
  <c r="E18" i="1"/>
  <c r="AC72" i="1" s="1"/>
  <c r="D18" i="1"/>
  <c r="AC68" i="1" s="1"/>
  <c r="C18" i="1"/>
  <c r="AC64" i="1" s="1"/>
  <c r="B18" i="1"/>
  <c r="AC60" i="1" s="1"/>
  <c r="I37" i="1"/>
  <c r="J4" i="9" l="1"/>
  <c r="G10" i="9"/>
  <c r="J10" i="9" s="1"/>
  <c r="H74" i="5"/>
  <c r="H62" i="5"/>
  <c r="I62" i="5" s="1"/>
  <c r="J62" i="5" s="1"/>
  <c r="H70" i="5"/>
  <c r="I70" i="5" s="1"/>
  <c r="J70" i="5" s="1"/>
  <c r="K86" i="8"/>
  <c r="M73" i="8"/>
  <c r="N73" i="8" s="1"/>
  <c r="I69" i="8"/>
  <c r="J69" i="8" s="1"/>
  <c r="I77" i="8"/>
  <c r="J77" i="8" s="1"/>
  <c r="G86" i="8"/>
  <c r="I61" i="8"/>
  <c r="J61" i="8" s="1"/>
  <c r="K85" i="8"/>
  <c r="M68" i="8"/>
  <c r="M69" i="8"/>
  <c r="N69" i="8" s="1"/>
  <c r="E75" i="5"/>
  <c r="F75" i="5" s="1"/>
  <c r="G75" i="5"/>
  <c r="M61" i="5"/>
  <c r="N61" i="5" s="1"/>
  <c r="E63" i="5"/>
  <c r="F63" i="5" s="1"/>
  <c r="G63" i="5"/>
  <c r="G66" i="5"/>
  <c r="AF68" i="5"/>
  <c r="K69" i="5"/>
  <c r="M69" i="5" s="1"/>
  <c r="N69" i="5" s="1"/>
  <c r="W71" i="5"/>
  <c r="G71" i="5"/>
  <c r="AF72" i="5"/>
  <c r="E78" i="5"/>
  <c r="F78" i="5" s="1"/>
  <c r="G78" i="5"/>
  <c r="H83" i="5"/>
  <c r="E82" i="5"/>
  <c r="F82" i="5" s="1"/>
  <c r="G82" i="5"/>
  <c r="K61" i="5"/>
  <c r="H67" i="5"/>
  <c r="G67" i="5"/>
  <c r="G74" i="5"/>
  <c r="H79" i="5"/>
  <c r="H82" i="5"/>
  <c r="H63" i="5"/>
  <c r="E62" i="5"/>
  <c r="F62" i="5" s="1"/>
  <c r="G62" i="5"/>
  <c r="H66" i="5"/>
  <c r="I66" i="5" s="1"/>
  <c r="J66" i="5" s="1"/>
  <c r="H71" i="5"/>
  <c r="H68" i="5" s="1"/>
  <c r="W70" i="5"/>
  <c r="G70" i="5"/>
  <c r="H75" i="5"/>
  <c r="I75" i="5" s="1"/>
  <c r="J75" i="5" s="1"/>
  <c r="H78" i="5"/>
  <c r="I78" i="5" s="1"/>
  <c r="J78" i="5" s="1"/>
  <c r="W79" i="5"/>
  <c r="G79" i="5"/>
  <c r="W83" i="5"/>
  <c r="G83" i="5"/>
  <c r="H86" i="8"/>
  <c r="B50" i="8" s="1"/>
  <c r="L65" i="8"/>
  <c r="M65" i="8" s="1"/>
  <c r="N65" i="8" s="1"/>
  <c r="L86" i="8"/>
  <c r="M81" i="8"/>
  <c r="I81" i="8"/>
  <c r="E86" i="8"/>
  <c r="F86" i="8" s="1"/>
  <c r="F81" i="8"/>
  <c r="H77" i="7"/>
  <c r="I83" i="7"/>
  <c r="J83" i="7" s="1"/>
  <c r="I67" i="7"/>
  <c r="J67" i="7" s="1"/>
  <c r="I80" i="7"/>
  <c r="J80" i="7" s="1"/>
  <c r="Q61" i="7"/>
  <c r="AR61" i="7"/>
  <c r="Q65" i="7"/>
  <c r="AR65" i="7"/>
  <c r="Q69" i="7"/>
  <c r="AR69" i="7"/>
  <c r="Q81" i="7"/>
  <c r="AR81" i="7"/>
  <c r="M71" i="7"/>
  <c r="N71" i="7" s="1"/>
  <c r="K61" i="7"/>
  <c r="Q73" i="7"/>
  <c r="AR73" i="7"/>
  <c r="Q77" i="7"/>
  <c r="AR77" i="7"/>
  <c r="H69" i="7"/>
  <c r="M76" i="7"/>
  <c r="N76" i="7" s="1"/>
  <c r="M72" i="7"/>
  <c r="N72" i="7" s="1"/>
  <c r="K73" i="7"/>
  <c r="AF80" i="5"/>
  <c r="H73" i="7"/>
  <c r="I68" i="7"/>
  <c r="G73" i="7"/>
  <c r="K77" i="7"/>
  <c r="M77" i="7" s="1"/>
  <c r="N77" i="7" s="1"/>
  <c r="E77" i="7"/>
  <c r="F77" i="7" s="1"/>
  <c r="E73" i="7"/>
  <c r="F73" i="7" s="1"/>
  <c r="H65" i="7"/>
  <c r="G69" i="7"/>
  <c r="I63" i="7"/>
  <c r="J63" i="7" s="1"/>
  <c r="C86" i="7"/>
  <c r="E81" i="7"/>
  <c r="E65" i="7"/>
  <c r="F65" i="7" s="1"/>
  <c r="M64" i="7"/>
  <c r="N64" i="7" s="1"/>
  <c r="L61" i="7"/>
  <c r="M61" i="7" s="1"/>
  <c r="N61" i="7" s="1"/>
  <c r="I74" i="7"/>
  <c r="J74" i="7" s="1"/>
  <c r="G77" i="7"/>
  <c r="M70" i="7"/>
  <c r="N70" i="7" s="1"/>
  <c r="L69" i="7"/>
  <c r="M78" i="7"/>
  <c r="N78" i="7" s="1"/>
  <c r="E61" i="7"/>
  <c r="F61" i="7" s="1"/>
  <c r="K81" i="7"/>
  <c r="M74" i="7"/>
  <c r="N74" i="7" s="1"/>
  <c r="L73" i="7"/>
  <c r="E69" i="7"/>
  <c r="F69" i="7" s="1"/>
  <c r="G81" i="7"/>
  <c r="G61" i="7"/>
  <c r="G65" i="7"/>
  <c r="L68" i="7"/>
  <c r="L86" i="7" s="1"/>
  <c r="K68" i="7"/>
  <c r="K65" i="7" s="1"/>
  <c r="I62" i="7"/>
  <c r="J62" i="7" s="1"/>
  <c r="H61" i="7"/>
  <c r="K69" i="7"/>
  <c r="L80" i="5"/>
  <c r="AF60" i="5"/>
  <c r="AF64" i="5"/>
  <c r="K65" i="5"/>
  <c r="AF76" i="5"/>
  <c r="E73" i="5"/>
  <c r="F73" i="5" s="1"/>
  <c r="E83" i="5"/>
  <c r="F83" i="5" s="1"/>
  <c r="K71" i="5"/>
  <c r="K73" i="5"/>
  <c r="K75" i="5"/>
  <c r="M75" i="5" s="1"/>
  <c r="N75" i="5" s="1"/>
  <c r="W82" i="5"/>
  <c r="E61" i="5"/>
  <c r="F61" i="5" s="1"/>
  <c r="H64" i="5"/>
  <c r="AB64" i="5"/>
  <c r="AL58" i="5"/>
  <c r="AD58" i="5"/>
  <c r="M65" i="1"/>
  <c r="N65" i="1" s="1"/>
  <c r="E77" i="1"/>
  <c r="F77" i="1" s="1"/>
  <c r="K81" i="1"/>
  <c r="E65" i="1"/>
  <c r="F65" i="1" s="1"/>
  <c r="G77" i="1"/>
  <c r="G82" i="1"/>
  <c r="M77" i="1"/>
  <c r="N77" i="1" s="1"/>
  <c r="E71" i="1"/>
  <c r="F71" i="1" s="1"/>
  <c r="K63" i="1"/>
  <c r="K70" i="1"/>
  <c r="K75" i="1"/>
  <c r="G78" i="1"/>
  <c r="E62" i="1"/>
  <c r="F62" i="1" s="1"/>
  <c r="E78" i="1"/>
  <c r="F78" i="1" s="1"/>
  <c r="E83" i="1"/>
  <c r="F83" i="1" s="1"/>
  <c r="K65" i="1"/>
  <c r="K71" i="1"/>
  <c r="M71" i="1" s="1"/>
  <c r="N71" i="1" s="1"/>
  <c r="K77" i="1"/>
  <c r="K82" i="1"/>
  <c r="G71" i="1"/>
  <c r="M62" i="1"/>
  <c r="N62" i="1" s="1"/>
  <c r="M69" i="1"/>
  <c r="N69" i="1" s="1"/>
  <c r="E63" i="1"/>
  <c r="F63" i="1" s="1"/>
  <c r="E69" i="1"/>
  <c r="F69" i="1" s="1"/>
  <c r="E74" i="1"/>
  <c r="F74" i="1" s="1"/>
  <c r="E79" i="1"/>
  <c r="F79" i="1" s="1"/>
  <c r="K61" i="1"/>
  <c r="M61" i="1" s="1"/>
  <c r="N61" i="1" s="1"/>
  <c r="K66" i="1"/>
  <c r="M66" i="1" s="1"/>
  <c r="N66" i="1" s="1"/>
  <c r="K73" i="1"/>
  <c r="M73" i="1" s="1"/>
  <c r="N73" i="1" s="1"/>
  <c r="K78" i="1"/>
  <c r="M78" i="1" s="1"/>
  <c r="N78" i="1" s="1"/>
  <c r="K83" i="1"/>
  <c r="M83" i="1" s="1"/>
  <c r="N83" i="1" s="1"/>
  <c r="L81" i="6"/>
  <c r="M81" i="6" s="1"/>
  <c r="E80" i="1"/>
  <c r="D85" i="1"/>
  <c r="K67" i="1"/>
  <c r="M67" i="1" s="1"/>
  <c r="M74" i="1"/>
  <c r="N74" i="1" s="1"/>
  <c r="M79" i="1"/>
  <c r="N79" i="1" s="1"/>
  <c r="L76" i="1"/>
  <c r="M70" i="1"/>
  <c r="N70" i="1" s="1"/>
  <c r="M75" i="1"/>
  <c r="N75" i="1" s="1"/>
  <c r="L64" i="1"/>
  <c r="L80" i="1"/>
  <c r="M81" i="1"/>
  <c r="N81" i="1" s="1"/>
  <c r="M82" i="1"/>
  <c r="N82" i="1" s="1"/>
  <c r="L68" i="1"/>
  <c r="AH58" i="5"/>
  <c r="E65" i="5"/>
  <c r="F65" i="5" s="1"/>
  <c r="K79" i="5"/>
  <c r="M79" i="5" s="1"/>
  <c r="N79" i="5" s="1"/>
  <c r="W81" i="5"/>
  <c r="C68" i="5"/>
  <c r="E68" i="5" s="1"/>
  <c r="F68" i="5" s="1"/>
  <c r="E69" i="5"/>
  <c r="F69" i="5" s="1"/>
  <c r="E70" i="5"/>
  <c r="F70" i="5" s="1"/>
  <c r="K70" i="5"/>
  <c r="M70" i="5" s="1"/>
  <c r="N70" i="5" s="1"/>
  <c r="L73" i="5"/>
  <c r="W75" i="5"/>
  <c r="K78" i="5"/>
  <c r="M78" i="5" s="1"/>
  <c r="N78" i="5" s="1"/>
  <c r="E79" i="5"/>
  <c r="F79" i="5" s="1"/>
  <c r="C80" i="5"/>
  <c r="W80" i="5" s="1"/>
  <c r="AJ58" i="5"/>
  <c r="AE58" i="5"/>
  <c r="G81" i="5"/>
  <c r="I81" i="5" s="1"/>
  <c r="J81" i="5" s="1"/>
  <c r="K82" i="5"/>
  <c r="M82" i="5" s="1"/>
  <c r="N82" i="5" s="1"/>
  <c r="K83" i="5"/>
  <c r="M83" i="5" s="1"/>
  <c r="N83" i="5" s="1"/>
  <c r="I79" i="5"/>
  <c r="J79" i="5" s="1"/>
  <c r="K62" i="5"/>
  <c r="L65" i="5"/>
  <c r="M65" i="5" s="1"/>
  <c r="N65" i="5" s="1"/>
  <c r="K66" i="5"/>
  <c r="W78" i="5"/>
  <c r="K81" i="5"/>
  <c r="M81" i="5" s="1"/>
  <c r="N81" i="5" s="1"/>
  <c r="E77" i="6"/>
  <c r="F77" i="6" s="1"/>
  <c r="H77" i="6"/>
  <c r="AC59" i="6"/>
  <c r="M70" i="6"/>
  <c r="N70" i="6" s="1"/>
  <c r="L69" i="6"/>
  <c r="X59" i="6"/>
  <c r="AB59" i="6"/>
  <c r="H84" i="6"/>
  <c r="I84" i="6" s="1"/>
  <c r="J84" i="6" s="1"/>
  <c r="G84" i="6"/>
  <c r="AD59" i="6"/>
  <c r="M79" i="6"/>
  <c r="N79" i="6" s="1"/>
  <c r="H83" i="6"/>
  <c r="I83" i="6" s="1"/>
  <c r="J83" i="6" s="1"/>
  <c r="AE59" i="6"/>
  <c r="M82" i="6"/>
  <c r="N82" i="6" s="1"/>
  <c r="H61" i="6"/>
  <c r="I62" i="6"/>
  <c r="J62" i="6" s="1"/>
  <c r="R63" i="6"/>
  <c r="G63" i="6"/>
  <c r="I63" i="6" s="1"/>
  <c r="J63" i="6" s="1"/>
  <c r="C61" i="6"/>
  <c r="L63" i="6"/>
  <c r="R64" i="6"/>
  <c r="H65" i="6"/>
  <c r="I66" i="6"/>
  <c r="J66" i="6" s="1"/>
  <c r="L67" i="6"/>
  <c r="H72" i="6"/>
  <c r="I72" i="6" s="1"/>
  <c r="J72" i="6" s="1"/>
  <c r="K72" i="6"/>
  <c r="K69" i="6" s="1"/>
  <c r="H73" i="6"/>
  <c r="I73" i="6" s="1"/>
  <c r="J73" i="6" s="1"/>
  <c r="R75" i="6"/>
  <c r="G75" i="6"/>
  <c r="I75" i="6" s="1"/>
  <c r="J75" i="6" s="1"/>
  <c r="C73" i="6"/>
  <c r="L75" i="6"/>
  <c r="G76" i="6"/>
  <c r="R76" i="6"/>
  <c r="R78" i="6"/>
  <c r="G78" i="6"/>
  <c r="C77" i="6"/>
  <c r="R77" i="6" s="1"/>
  <c r="L78" i="6"/>
  <c r="G79" i="6"/>
  <c r="I79" i="6" s="1"/>
  <c r="J79" i="6" s="1"/>
  <c r="R79" i="6"/>
  <c r="M80" i="6"/>
  <c r="N80" i="6" s="1"/>
  <c r="G82" i="6"/>
  <c r="G81" i="6" s="1"/>
  <c r="R82" i="6"/>
  <c r="G83" i="6"/>
  <c r="AF59" i="6"/>
  <c r="M64" i="6"/>
  <c r="N64" i="6" s="1"/>
  <c r="C69" i="6"/>
  <c r="R69" i="6" s="1"/>
  <c r="E72" i="6"/>
  <c r="F72" i="6" s="1"/>
  <c r="M76" i="6"/>
  <c r="N76" i="6" s="1"/>
  <c r="I78" i="6"/>
  <c r="J78" i="6" s="1"/>
  <c r="M83" i="6"/>
  <c r="N83" i="6" s="1"/>
  <c r="G64" i="6"/>
  <c r="I64" i="6" s="1"/>
  <c r="J64" i="6" s="1"/>
  <c r="R67" i="6"/>
  <c r="G67" i="6"/>
  <c r="I67" i="6" s="1"/>
  <c r="J67" i="6" s="1"/>
  <c r="C65" i="6"/>
  <c r="AH59" i="6"/>
  <c r="E63" i="6"/>
  <c r="F63" i="6" s="1"/>
  <c r="E67" i="6"/>
  <c r="F67" i="6" s="1"/>
  <c r="K68" i="6"/>
  <c r="K65" i="6" s="1"/>
  <c r="G70" i="6"/>
  <c r="E75" i="6"/>
  <c r="F75" i="6" s="1"/>
  <c r="I76" i="6"/>
  <c r="J76" i="6" s="1"/>
  <c r="E78" i="6"/>
  <c r="F78" i="6" s="1"/>
  <c r="I80" i="6"/>
  <c r="J80" i="6" s="1"/>
  <c r="C81" i="6"/>
  <c r="E81" i="6" s="1"/>
  <c r="D86" i="6"/>
  <c r="G66" i="6"/>
  <c r="G74" i="6"/>
  <c r="G73" i="6" s="1"/>
  <c r="G62" i="6"/>
  <c r="G61" i="6" s="1"/>
  <c r="G68" i="6"/>
  <c r="I68" i="6" s="1"/>
  <c r="G71" i="6"/>
  <c r="I71" i="6" s="1"/>
  <c r="J71" i="6" s="1"/>
  <c r="W74" i="5"/>
  <c r="E74" i="5"/>
  <c r="F74" i="5" s="1"/>
  <c r="K63" i="5"/>
  <c r="Q67" i="5"/>
  <c r="G69" i="5"/>
  <c r="I69" i="5" s="1"/>
  <c r="J69" i="5" s="1"/>
  <c r="K77" i="5"/>
  <c r="W66" i="5"/>
  <c r="L66" i="5"/>
  <c r="AK58" i="5"/>
  <c r="L71" i="5"/>
  <c r="AG58" i="5"/>
  <c r="L76" i="5"/>
  <c r="W77" i="5"/>
  <c r="G77" i="5"/>
  <c r="I77" i="5" s="1"/>
  <c r="J77" i="5" s="1"/>
  <c r="C76" i="5"/>
  <c r="W76" i="5" s="1"/>
  <c r="E77" i="5"/>
  <c r="F77" i="5" s="1"/>
  <c r="AB60" i="5"/>
  <c r="W62" i="5"/>
  <c r="C60" i="5"/>
  <c r="L62" i="5"/>
  <c r="W63" i="5"/>
  <c r="E66" i="5"/>
  <c r="F66" i="5" s="1"/>
  <c r="E71" i="5"/>
  <c r="F71" i="5" s="1"/>
  <c r="K74" i="5"/>
  <c r="D85" i="5"/>
  <c r="AB62" i="5"/>
  <c r="G61" i="5"/>
  <c r="C64" i="5"/>
  <c r="G65" i="5"/>
  <c r="C72" i="5"/>
  <c r="G73" i="5"/>
  <c r="E80" i="5"/>
  <c r="K64" i="1"/>
  <c r="M64" i="1" s="1"/>
  <c r="N64" i="1" s="1"/>
  <c r="K80" i="1"/>
  <c r="K60" i="1"/>
  <c r="K76" i="1"/>
  <c r="M76" i="1" s="1"/>
  <c r="N76" i="1" s="1"/>
  <c r="H78" i="1"/>
  <c r="G73" i="1"/>
  <c r="I73" i="1" s="1"/>
  <c r="J73" i="1" s="1"/>
  <c r="G67" i="1"/>
  <c r="I67" i="1" s="1"/>
  <c r="H66" i="1"/>
  <c r="I66" i="1" s="1"/>
  <c r="J66" i="1" s="1"/>
  <c r="H82" i="1"/>
  <c r="H80" i="1" s="1"/>
  <c r="G62" i="1"/>
  <c r="I62" i="1" s="1"/>
  <c r="J62" i="1" s="1"/>
  <c r="G83" i="1"/>
  <c r="I83" i="1" s="1"/>
  <c r="J83" i="1" s="1"/>
  <c r="H72" i="1"/>
  <c r="G63" i="1"/>
  <c r="G69" i="1"/>
  <c r="G74" i="1"/>
  <c r="I74" i="1" s="1"/>
  <c r="J74" i="1" s="1"/>
  <c r="G79" i="1"/>
  <c r="I79" i="1" s="1"/>
  <c r="J79" i="1" s="1"/>
  <c r="H71" i="1"/>
  <c r="H60" i="1"/>
  <c r="G61" i="1"/>
  <c r="I61" i="1" s="1"/>
  <c r="J61" i="1" s="1"/>
  <c r="G65" i="1"/>
  <c r="G70" i="1"/>
  <c r="I70" i="1" s="1"/>
  <c r="J70" i="1" s="1"/>
  <c r="G75" i="1"/>
  <c r="I75" i="1" s="1"/>
  <c r="J75" i="1" s="1"/>
  <c r="G81" i="1"/>
  <c r="I65" i="1"/>
  <c r="J65" i="1" s="1"/>
  <c r="H77" i="1"/>
  <c r="C72" i="1"/>
  <c r="C68" i="1"/>
  <c r="C60" i="1"/>
  <c r="R60" i="1" s="1"/>
  <c r="C64" i="1"/>
  <c r="C80" i="1"/>
  <c r="C76" i="1"/>
  <c r="R82" i="1"/>
  <c r="R61" i="1"/>
  <c r="R66" i="1"/>
  <c r="R73" i="1"/>
  <c r="L63" i="1"/>
  <c r="L60" i="1" s="1"/>
  <c r="AC58" i="1"/>
  <c r="AE58" i="1"/>
  <c r="AB58" i="1"/>
  <c r="Y58" i="1"/>
  <c r="AG58" i="1"/>
  <c r="W58" i="1"/>
  <c r="AA58" i="1"/>
  <c r="X58" i="1"/>
  <c r="AF58" i="1"/>
  <c r="Z58" i="1"/>
  <c r="AD58" i="1"/>
  <c r="AH58" i="1"/>
  <c r="I74" i="5" l="1"/>
  <c r="J74" i="5" s="1"/>
  <c r="H60" i="5"/>
  <c r="W68" i="5"/>
  <c r="H72" i="5"/>
  <c r="I63" i="5"/>
  <c r="J63" i="5" s="1"/>
  <c r="H76" i="5"/>
  <c r="M73" i="5"/>
  <c r="N73" i="5" s="1"/>
  <c r="K60" i="5"/>
  <c r="K68" i="5"/>
  <c r="I71" i="5"/>
  <c r="J71" i="5" s="1"/>
  <c r="K72" i="5"/>
  <c r="L85" i="8"/>
  <c r="M86" i="8"/>
  <c r="N86" i="8" s="1"/>
  <c r="N81" i="8"/>
  <c r="M85" i="8"/>
  <c r="N85" i="8" s="1"/>
  <c r="I86" i="8"/>
  <c r="J86" i="8" s="1"/>
  <c r="J81" i="8"/>
  <c r="I77" i="7"/>
  <c r="J77" i="7" s="1"/>
  <c r="I69" i="7"/>
  <c r="J69" i="7" s="1"/>
  <c r="L72" i="5"/>
  <c r="I67" i="5"/>
  <c r="I82" i="5"/>
  <c r="J82" i="5" s="1"/>
  <c r="I73" i="7"/>
  <c r="J73" i="7" s="1"/>
  <c r="I61" i="7"/>
  <c r="J61" i="7" s="1"/>
  <c r="M73" i="7"/>
  <c r="N73" i="7" s="1"/>
  <c r="I65" i="7"/>
  <c r="J65" i="7" s="1"/>
  <c r="H86" i="7"/>
  <c r="B50" i="7" s="1"/>
  <c r="G86" i="7"/>
  <c r="I81" i="7"/>
  <c r="K86" i="7"/>
  <c r="K85" i="7"/>
  <c r="M81" i="7"/>
  <c r="M69" i="7"/>
  <c r="N69" i="7" s="1"/>
  <c r="E86" i="7"/>
  <c r="F86" i="7" s="1"/>
  <c r="F81" i="7"/>
  <c r="M68" i="7"/>
  <c r="L65" i="7"/>
  <c r="M65" i="7" s="1"/>
  <c r="N65" i="7" s="1"/>
  <c r="K76" i="5"/>
  <c r="M76" i="5" s="1"/>
  <c r="N76" i="5" s="1"/>
  <c r="M71" i="5"/>
  <c r="N71" i="5" s="1"/>
  <c r="G80" i="5"/>
  <c r="I71" i="1"/>
  <c r="J71" i="1" s="1"/>
  <c r="I78" i="1"/>
  <c r="J78" i="1" s="1"/>
  <c r="K72" i="1"/>
  <c r="M72" i="1" s="1"/>
  <c r="N72" i="1" s="1"/>
  <c r="K68" i="1"/>
  <c r="M68" i="1" s="1"/>
  <c r="N68" i="1" s="1"/>
  <c r="L86" i="6"/>
  <c r="F80" i="1"/>
  <c r="R68" i="1"/>
  <c r="E68" i="1"/>
  <c r="F68" i="1" s="1"/>
  <c r="M60" i="1"/>
  <c r="N60" i="1" s="1"/>
  <c r="R76" i="1"/>
  <c r="E76" i="1"/>
  <c r="F76" i="1" s="1"/>
  <c r="M63" i="1"/>
  <c r="N63" i="1" s="1"/>
  <c r="L85" i="1"/>
  <c r="R80" i="1"/>
  <c r="C85" i="1"/>
  <c r="R72" i="1"/>
  <c r="E72" i="1"/>
  <c r="F72" i="1" s="1"/>
  <c r="L84" i="1"/>
  <c r="E60" i="1"/>
  <c r="F60" i="1" s="1"/>
  <c r="M63" i="5"/>
  <c r="N63" i="5" s="1"/>
  <c r="G76" i="5"/>
  <c r="H80" i="5"/>
  <c r="H85" i="5" s="1"/>
  <c r="B50" i="5" s="1"/>
  <c r="M77" i="5"/>
  <c r="N77" i="5" s="1"/>
  <c r="K80" i="5"/>
  <c r="M80" i="5" s="1"/>
  <c r="N80" i="5" s="1"/>
  <c r="K86" i="6"/>
  <c r="K85" i="6"/>
  <c r="F81" i="6"/>
  <c r="N81" i="6"/>
  <c r="L65" i="6"/>
  <c r="M65" i="6" s="1"/>
  <c r="N65" i="6" s="1"/>
  <c r="M67" i="6"/>
  <c r="N67" i="6" s="1"/>
  <c r="M68" i="6"/>
  <c r="M78" i="6"/>
  <c r="N78" i="6" s="1"/>
  <c r="L77" i="6"/>
  <c r="R61" i="6"/>
  <c r="E61" i="6"/>
  <c r="F61" i="6" s="1"/>
  <c r="I61" i="6"/>
  <c r="J61" i="6" s="1"/>
  <c r="H81" i="6"/>
  <c r="M72" i="6"/>
  <c r="N72" i="6" s="1"/>
  <c r="R73" i="6"/>
  <c r="E73" i="6"/>
  <c r="F73" i="6" s="1"/>
  <c r="L61" i="6"/>
  <c r="M61" i="6" s="1"/>
  <c r="N61" i="6" s="1"/>
  <c r="M63" i="6"/>
  <c r="N63" i="6" s="1"/>
  <c r="M69" i="6"/>
  <c r="N69" i="6" s="1"/>
  <c r="R65" i="6"/>
  <c r="E65" i="6"/>
  <c r="F65" i="6" s="1"/>
  <c r="H69" i="6"/>
  <c r="I82" i="6"/>
  <c r="J82" i="6" s="1"/>
  <c r="R81" i="6"/>
  <c r="C86" i="6"/>
  <c r="G65" i="6"/>
  <c r="I65" i="6" s="1"/>
  <c r="J65" i="6" s="1"/>
  <c r="G69" i="6"/>
  <c r="G77" i="6"/>
  <c r="I77" i="6" s="1"/>
  <c r="J77" i="6" s="1"/>
  <c r="L73" i="6"/>
  <c r="M73" i="6" s="1"/>
  <c r="N73" i="6" s="1"/>
  <c r="M75" i="6"/>
  <c r="N75" i="6" s="1"/>
  <c r="I74" i="6"/>
  <c r="J74" i="6" s="1"/>
  <c r="E69" i="6"/>
  <c r="F69" i="6" s="1"/>
  <c r="I70" i="6"/>
  <c r="J70" i="6" s="1"/>
  <c r="G68" i="5"/>
  <c r="G72" i="5"/>
  <c r="I73" i="5"/>
  <c r="J73" i="5" s="1"/>
  <c r="W64" i="5"/>
  <c r="E64" i="5"/>
  <c r="F64" i="5" s="1"/>
  <c r="W60" i="5"/>
  <c r="E60" i="5"/>
  <c r="F60" i="5" s="1"/>
  <c r="L68" i="5"/>
  <c r="M68" i="5" s="1"/>
  <c r="N68" i="5" s="1"/>
  <c r="L67" i="5"/>
  <c r="L64" i="5" s="1"/>
  <c r="K67" i="5"/>
  <c r="K64" i="5" s="1"/>
  <c r="F80" i="5"/>
  <c r="G64" i="5"/>
  <c r="I64" i="5" s="1"/>
  <c r="J64" i="5" s="1"/>
  <c r="I65" i="5"/>
  <c r="J65" i="5" s="1"/>
  <c r="L60" i="5"/>
  <c r="M62" i="5"/>
  <c r="N62" i="5" s="1"/>
  <c r="M74" i="5"/>
  <c r="N74" i="5" s="1"/>
  <c r="C85" i="5"/>
  <c r="W72" i="5"/>
  <c r="E72" i="5"/>
  <c r="F72" i="5" s="1"/>
  <c r="G60" i="5"/>
  <c r="I60" i="5" s="1"/>
  <c r="J60" i="5" s="1"/>
  <c r="I61" i="5"/>
  <c r="J61" i="5" s="1"/>
  <c r="I83" i="5"/>
  <c r="J83" i="5" s="1"/>
  <c r="M66" i="5"/>
  <c r="N66" i="5" s="1"/>
  <c r="E76" i="5"/>
  <c r="F76" i="5" s="1"/>
  <c r="M80" i="1"/>
  <c r="G64" i="1"/>
  <c r="G80" i="1"/>
  <c r="I80" i="1" s="1"/>
  <c r="I81" i="1"/>
  <c r="J81" i="1" s="1"/>
  <c r="I82" i="1"/>
  <c r="J82" i="1" s="1"/>
  <c r="H64" i="1"/>
  <c r="I64" i="1" s="1"/>
  <c r="J64" i="1" s="1"/>
  <c r="G72" i="1"/>
  <c r="I72" i="1" s="1"/>
  <c r="J72" i="1" s="1"/>
  <c r="G68" i="1"/>
  <c r="I77" i="1"/>
  <c r="J77" i="1" s="1"/>
  <c r="H76" i="1"/>
  <c r="H68" i="1"/>
  <c r="G60" i="1"/>
  <c r="I60" i="1" s="1"/>
  <c r="J60" i="1" s="1"/>
  <c r="I63" i="1"/>
  <c r="J63" i="1" s="1"/>
  <c r="G76" i="1"/>
  <c r="I69" i="1"/>
  <c r="J69" i="1" s="1"/>
  <c r="R64" i="1"/>
  <c r="E64" i="1"/>
  <c r="F64" i="1" s="1"/>
  <c r="I76" i="5" l="1"/>
  <c r="J76" i="5" s="1"/>
  <c r="I72" i="5"/>
  <c r="J72" i="5" s="1"/>
  <c r="M60" i="5"/>
  <c r="N60" i="5" s="1"/>
  <c r="M72" i="5"/>
  <c r="N72" i="5" s="1"/>
  <c r="M86" i="7"/>
  <c r="N86" i="7" s="1"/>
  <c r="N81" i="7"/>
  <c r="M85" i="7"/>
  <c r="N85" i="7" s="1"/>
  <c r="I86" i="7"/>
  <c r="J86" i="7" s="1"/>
  <c r="J81" i="7"/>
  <c r="L85" i="7"/>
  <c r="M84" i="1"/>
  <c r="K85" i="1"/>
  <c r="K84" i="1"/>
  <c r="E85" i="1"/>
  <c r="F85" i="1" s="1"/>
  <c r="G85" i="5"/>
  <c r="I80" i="5"/>
  <c r="J80" i="5" s="1"/>
  <c r="K84" i="5"/>
  <c r="E86" i="6"/>
  <c r="F86" i="6" s="1"/>
  <c r="G86" i="6"/>
  <c r="I69" i="6"/>
  <c r="J69" i="6" s="1"/>
  <c r="I81" i="6"/>
  <c r="H86" i="6"/>
  <c r="M77" i="6"/>
  <c r="L85" i="6"/>
  <c r="M64" i="5"/>
  <c r="M67" i="5"/>
  <c r="K85" i="5"/>
  <c r="I68" i="5"/>
  <c r="J68" i="5" s="1"/>
  <c r="E85" i="5"/>
  <c r="F85" i="5" s="1"/>
  <c r="L84" i="5"/>
  <c r="L85" i="5"/>
  <c r="N80" i="1"/>
  <c r="M85" i="1"/>
  <c r="N85" i="1" s="1"/>
  <c r="G85" i="1"/>
  <c r="I76" i="1"/>
  <c r="J76" i="1" s="1"/>
  <c r="H85" i="1"/>
  <c r="J80" i="1"/>
  <c r="I68" i="1"/>
  <c r="J68" i="1" s="1"/>
  <c r="B49" i="1"/>
  <c r="M85" i="5" l="1"/>
  <c r="N85" i="5" s="1"/>
  <c r="N84" i="1"/>
  <c r="N77" i="6"/>
  <c r="M86" i="6"/>
  <c r="N86" i="6" s="1"/>
  <c r="M85" i="6"/>
  <c r="N85" i="6" s="1"/>
  <c r="J81" i="6"/>
  <c r="I86" i="6"/>
  <c r="J86" i="6" s="1"/>
  <c r="I85" i="5"/>
  <c r="J85" i="5" s="1"/>
  <c r="N64" i="5"/>
  <c r="M84" i="5"/>
  <c r="N84" i="5" s="1"/>
  <c r="I85" i="1"/>
  <c r="J85" i="1" s="1"/>
</calcChain>
</file>

<file path=xl/sharedStrings.xml><?xml version="1.0" encoding="utf-8"?>
<sst xmlns="http://schemas.openxmlformats.org/spreadsheetml/2006/main" count="1436" uniqueCount="293">
  <si>
    <t>9B13E023</t>
  </si>
  <si>
    <t>EXHIBIT 1: DEMOGRAPHIC AND TECHNOLOGY PENETRATION DATA</t>
  </si>
  <si>
    <t>Intel AP Markets</t>
  </si>
  <si>
    <t>Indonesia</t>
  </si>
  <si>
    <t>Korea</t>
  </si>
  <si>
    <t>Malaysia</t>
  </si>
  <si>
    <t>Pakistan</t>
  </si>
  <si>
    <t>Philippines</t>
  </si>
  <si>
    <t>Singapore</t>
  </si>
  <si>
    <t>Population (Ms) 1</t>
  </si>
  <si>
    <t># Internet Users (Ms) 1</t>
  </si>
  <si>
    <t>Mobile Phones (Ms) 1</t>
  </si>
  <si>
    <t># Facebook Users (Ms) 2</t>
  </si>
  <si>
    <t>Sources: 1 CIA World Factbook, accessed July 25, 2013;</t>
  </si>
  <si>
    <t>2 www.internetworldstats.com/, accessed July 25, 2013.</t>
  </si>
  <si>
    <t>EXHIBIT 2: INTEL ASIA-PACIFIC FACEBOOK COMMUNITIES (AUGUST 2012)</t>
  </si>
  <si>
    <t>Intel Market</t>
  </si>
  <si>
    <t>Indonesia</t>
  </si>
  <si>
    <t>Korea</t>
  </si>
  <si>
    <t>Malaysia</t>
  </si>
  <si>
    <t>Pakistan</t>
  </si>
  <si>
    <t>Philippines</t>
  </si>
  <si>
    <t>Singapore</t>
  </si>
  <si>
    <t>Fans</t>
  </si>
  <si>
    <t>Growth</t>
  </si>
  <si>
    <t>Top Demographic</t>
  </si>
  <si>
    <t>M 18-24</t>
  </si>
  <si>
    <t>F 18-24</t>
  </si>
  <si>
    <t>M 18-24</t>
  </si>
  <si>
    <t>M 18-24</t>
  </si>
  <si>
    <t>M 18-24</t>
  </si>
  <si>
    <t>M 18-24</t>
  </si>
  <si>
    <t>Source: Intel Asia-Pacific Marketing</t>
  </si>
  <si>
    <t>Impressions</t>
  </si>
  <si>
    <t>-</t>
  </si>
  <si>
    <t>Page 9</t>
  </si>
  <si>
    <t>EXHIBIT 4: PRELIMINARY MEDIA PLAN PROPOSED BY IMPACT MARKETING LTD</t>
  </si>
  <si>
    <t>Indonesia</t>
  </si>
  <si>
    <t>Korea</t>
  </si>
  <si>
    <t>Malaysia</t>
  </si>
  <si>
    <t>Pakistan</t>
  </si>
  <si>
    <t>Philippines</t>
  </si>
  <si>
    <t>Singapore</t>
  </si>
  <si>
    <t>Total</t>
  </si>
  <si>
    <t>Marketplace</t>
  </si>
  <si>
    <t>Impressions</t>
  </si>
  <si>
    <t>CPM</t>
  </si>
  <si>
    <t>Cost</t>
  </si>
  <si>
    <t>Premium</t>
  </si>
  <si>
    <t>Impressions</t>
  </si>
  <si>
    <t>CPM</t>
  </si>
  <si>
    <t>Cost</t>
  </si>
  <si>
    <t>Mobile Ads</t>
  </si>
  <si>
    <t>Impressions</t>
  </si>
  <si>
    <t>-</t>
  </si>
  <si>
    <t>CPM</t>
  </si>
  <si>
    <t>-</t>
  </si>
  <si>
    <t>Cost</t>
  </si>
  <si>
    <t>-</t>
  </si>
  <si>
    <t>Total Ads</t>
  </si>
  <si>
    <t>Impressions</t>
  </si>
  <si>
    <t>Cost</t>
  </si>
  <si>
    <t>Market</t>
  </si>
  <si>
    <t>Indonesia</t>
  </si>
  <si>
    <t>Korea</t>
  </si>
  <si>
    <t>Malaysia</t>
  </si>
  <si>
    <t>Pakistan</t>
  </si>
  <si>
    <t>Philippines</t>
  </si>
  <si>
    <t>Singapore</t>
  </si>
  <si>
    <t>Marketplace CTR</t>
  </si>
  <si>
    <t>Premium CTR</t>
  </si>
  <si>
    <t>Social Impression Multiplier</t>
  </si>
  <si>
    <t>Social CTR</t>
  </si>
  <si>
    <t>CTR Mobile Ad</t>
  </si>
  <si>
    <t>Problem</t>
  </si>
  <si>
    <t>Objective</t>
  </si>
  <si>
    <t>EXHIBIT 5: INTEL’S ESTIMATED CLICK-THROUGH RATES AND SOCIAL IMPRESSIONS MULTIPLIERS</t>
  </si>
  <si>
    <t>Including agency fee</t>
  </si>
  <si>
    <t>Decided which marketing plan is better. 1) Agency plan 2) Peter Dingle plans 3) New Plan (other)</t>
  </si>
  <si>
    <t>Exceeding budget, optimization of resources</t>
  </si>
  <si>
    <t xml:space="preserve">Constraint </t>
  </si>
  <si>
    <t># mobile users</t>
  </si>
  <si>
    <t># facebook users</t>
  </si>
  <si>
    <t>Then the original plan</t>
  </si>
  <si>
    <t>*look for reason of not having mobile ads in korea, if not found use same price</t>
  </si>
  <si>
    <t>Country</t>
  </si>
  <si>
    <t>Growth %</t>
  </si>
  <si>
    <t>Applies to total</t>
  </si>
  <si>
    <t>Applies per type of adv</t>
  </si>
  <si>
    <t>&gt;=</t>
  </si>
  <si>
    <t>&lt;=</t>
  </si>
  <si>
    <t>*look at impressions</t>
  </si>
  <si>
    <t>Max (Impression*CTR=Clicks)</t>
  </si>
  <si>
    <t>*look for external CTR</t>
  </si>
  <si>
    <t>TRANSLATE INTO CTR</t>
  </si>
  <si>
    <t>Number of user vs impressions</t>
  </si>
  <si>
    <t>Model</t>
  </si>
  <si>
    <t>Agency</t>
  </si>
  <si>
    <t>Sign of constrain</t>
  </si>
  <si>
    <t>Var</t>
  </si>
  <si>
    <t>Var %</t>
  </si>
  <si>
    <t>IMPRESSIONS</t>
  </si>
  <si>
    <t>CLICKS</t>
  </si>
  <si>
    <t>TOTAL</t>
  </si>
  <si>
    <t>CONSTRAINT IMPRESSION</t>
  </si>
  <si>
    <t>Facebook Add</t>
  </si>
  <si>
    <t>CONSTRAIN ON COST</t>
  </si>
  <si>
    <t>COST</t>
  </si>
  <si>
    <t>Agency fee</t>
  </si>
  <si>
    <t>Parameters:</t>
  </si>
  <si>
    <t>Impression</t>
  </si>
  <si>
    <t>Sign</t>
  </si>
  <si>
    <t>Limit</t>
  </si>
  <si>
    <t>Cost/1000</t>
  </si>
  <si>
    <t>MAX COST</t>
  </si>
  <si>
    <t>CTR</t>
  </si>
  <si>
    <t>Parameters/constraints:</t>
  </si>
  <si>
    <t>-Total of impression &lt;= 125% proposal</t>
  </si>
  <si>
    <t>-Total ad type/country &gt;= 75% proposal</t>
  </si>
  <si>
    <t>-Budget &lt;= 95k</t>
  </si>
  <si>
    <r>
      <t xml:space="preserve">Objective function: </t>
    </r>
    <r>
      <rPr>
        <sz val="10"/>
        <rFont val="Calibri"/>
        <family val="2"/>
        <scheme val="minor"/>
      </rPr>
      <t>Maximization of clicks (impact)</t>
    </r>
  </si>
  <si>
    <t>Max Clicks</t>
  </si>
  <si>
    <t>-Total ad type/country &gt;= 50% proposal</t>
  </si>
  <si>
    <t>-Total of impression &lt;= 150% proposal</t>
  </si>
  <si>
    <t>- Mobile Ads should represent at least 40% of the total of impression in Korea &amp; Singapore</t>
  </si>
  <si>
    <t>Mobile App %</t>
  </si>
  <si>
    <t>Result</t>
  </si>
  <si>
    <t>Impression/Internet User</t>
  </si>
  <si>
    <t>Mobile Ads/MP</t>
  </si>
  <si>
    <t>Impression/FB Users</t>
  </si>
  <si>
    <t>Limit of Impressions</t>
  </si>
  <si>
    <t>Limit of % of total of impressions</t>
  </si>
  <si>
    <t>% of total</t>
  </si>
  <si>
    <t>Limit % Impressions/FB Users</t>
  </si>
  <si>
    <t>CONSTRAINTS</t>
  </si>
  <si>
    <t>Original</t>
  </si>
  <si>
    <t>Alternative</t>
  </si>
  <si>
    <t>Impressions/FB Users</t>
  </si>
  <si>
    <t># FB Users (MM)</t>
  </si>
  <si>
    <t>Agency (MM)</t>
  </si>
  <si>
    <t>Original (MM)</t>
  </si>
  <si>
    <t>Alt.  (MM)</t>
  </si>
  <si>
    <t>Microsoft Excel 16.0 Answer Report</t>
  </si>
  <si>
    <t>Worksheet: [Case_Intel_Asia_Campaign_FINAL.xlsx]Model 1</t>
  </si>
  <si>
    <t>Report Created: 2/11/2020 11:55:18 AM</t>
  </si>
  <si>
    <t>Result: Solver found an integer solution within tolerance.  All Constraints are satisfied.</t>
  </si>
  <si>
    <t>Solver Engine</t>
  </si>
  <si>
    <t>Engine: Simplex LP</t>
  </si>
  <si>
    <t>Solution Time: 0.219 Seconds.</t>
  </si>
  <si>
    <t>Iterations: 2 Subproblems: 30</t>
  </si>
  <si>
    <t>Solver Options</t>
  </si>
  <si>
    <t>Max Time Unlimited,  Iterations Unlimited, Precision 0.000001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</si>
  <si>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</si>
  <si>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</si>
  <si>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</si>
  <si>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</si>
  <si>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</si>
  <si>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</si>
  <si>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</si>
  <si>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</si>
  <si>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</si>
  <si>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</si>
  <si>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</si>
  <si>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</si>
  <si>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</si>
  <si>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$B$50</t>
  </si>
  <si>
    <t>Max Clicks Indonesia</t>
  </si>
  <si>
    <t>$D$61</t>
  </si>
  <si>
    <t>Marketplace Model</t>
  </si>
  <si>
    <t>Contin</t>
  </si>
  <si>
    <t>$D$62</t>
  </si>
  <si>
    <t>Premium Model</t>
  </si>
  <si>
    <t>$D$63</t>
  </si>
  <si>
    <t>Mobile Ads Model</t>
  </si>
  <si>
    <t>$D$65</t>
  </si>
  <si>
    <t>$D$66</t>
  </si>
  <si>
    <t>$D$67</t>
  </si>
  <si>
    <t>$D$69</t>
  </si>
  <si>
    <t>$D$70</t>
  </si>
  <si>
    <t>$D$71</t>
  </si>
  <si>
    <t>$D$74</t>
  </si>
  <si>
    <t>$D$75</t>
  </si>
  <si>
    <t>$D$73</t>
  </si>
  <si>
    <t>$D$77</t>
  </si>
  <si>
    <t>$D$78</t>
  </si>
  <si>
    <t>$D$79</t>
  </si>
  <si>
    <t>$D$81</t>
  </si>
  <si>
    <t>$D$82</t>
  </si>
  <si>
    <t>$D$83</t>
  </si>
  <si>
    <t>$D$60</t>
  </si>
  <si>
    <t>Indonesia Model</t>
  </si>
  <si>
    <t>$D$60&lt;=$W$60</t>
  </si>
  <si>
    <t>Not Binding</t>
  </si>
  <si>
    <t>$D$64</t>
  </si>
  <si>
    <t>Korea Model</t>
  </si>
  <si>
    <t>$D$64&lt;=$W$64</t>
  </si>
  <si>
    <t>Binding</t>
  </si>
  <si>
    <t>$D$68</t>
  </si>
  <si>
    <t>Malaysia Model</t>
  </si>
  <si>
    <t>$D$68&lt;=$W$68</t>
  </si>
  <si>
    <t>$D$72</t>
  </si>
  <si>
    <t>Pakistan Model</t>
  </si>
  <si>
    <t>$D$72&lt;=$W$72</t>
  </si>
  <si>
    <t>$D$76</t>
  </si>
  <si>
    <t>Philippines Model</t>
  </si>
  <si>
    <t>$D$76&lt;=$W$76</t>
  </si>
  <si>
    <t>$D$80</t>
  </si>
  <si>
    <t>Singapore Model</t>
  </si>
  <si>
    <t>$D$80&lt;=$W$80</t>
  </si>
  <si>
    <t>$L$85</t>
  </si>
  <si>
    <t>TOTAL Model</t>
  </si>
  <si>
    <t>$L$85&lt;=$Z$60</t>
  </si>
  <si>
    <t>$D$61&gt;=$W$61</t>
  </si>
  <si>
    <t>$D$62&gt;=$W$62</t>
  </si>
  <si>
    <t>$D$63&gt;=$W$63</t>
  </si>
  <si>
    <t>$D$65&gt;=$W$65</t>
  </si>
  <si>
    <t>$D$66&gt;=$W$66</t>
  </si>
  <si>
    <t>$D$67&gt;=$W$67</t>
  </si>
  <si>
    <t>$D$69&gt;=$W$69</t>
  </si>
  <si>
    <t>$D$70&gt;=$W$70</t>
  </si>
  <si>
    <t>$D$71&gt;=$W$71</t>
  </si>
  <si>
    <t>$D$73&gt;=$W$73</t>
  </si>
  <si>
    <t>$D$74&gt;=$W$74</t>
  </si>
  <si>
    <t>$D$75&gt;=$W$75</t>
  </si>
  <si>
    <t>$D$77&gt;=$W$77</t>
  </si>
  <si>
    <t>$D$78&gt;=$W$78</t>
  </si>
  <si>
    <t>$D$79&gt;=$W$79</t>
  </si>
  <si>
    <t>$D$81&gt;=$W$81</t>
  </si>
  <si>
    <t>$D$82&gt;=$W$82</t>
  </si>
  <si>
    <t>$D$83&gt;=$W$83</t>
  </si>
  <si>
    <t>$D$61:$D$63=Integer</t>
  </si>
  <si>
    <t>$D$65:$D$67=Integer</t>
  </si>
  <si>
    <t>$D$69:$D$71=Integer</t>
  </si>
  <si>
    <t>$D$73:$D$75=Integer</t>
  </si>
  <si>
    <t>$D$77:$D$79=Integer</t>
  </si>
  <si>
    <t>$D$81:$D$83=Integer</t>
  </si>
  <si>
    <t>Worksheet: [Case_Intel_Asia_Campaign_FINAL.xlsx]Model 2.</t>
  </si>
  <si>
    <t>Report Created: 2/11/2020 11:56:25 AM</t>
  </si>
  <si>
    <t>Result: Solver found a solution.  All Constraints and optimality conditions are satisfied.</t>
  </si>
  <si>
    <t>Engine: GRG Nonlinear</t>
  </si>
  <si>
    <t>Solution Time: 0.344 Seconds.</t>
  </si>
  <si>
    <t>Iterations: 1 Subproblems: 0</t>
  </si>
  <si>
    <t xml:space="preserve"> Convergence 0.0001, Population Size 100, Random Seed 0, Derivatives Central</t>
  </si>
  <si>
    <t>$D$84</t>
  </si>
  <si>
    <t>$L$86</t>
  </si>
  <si>
    <t>$L$86&lt;=$AQ$61</t>
  </si>
  <si>
    <t>$D$81&lt;=$AJ$81</t>
  </si>
  <si>
    <t>$D$77&lt;=$AJ$77</t>
  </si>
  <si>
    <t>$D$73&lt;=$AJ$73</t>
  </si>
  <si>
    <t>$D$69&lt;=$AJ$69</t>
  </si>
  <si>
    <t>$D$65&lt;=$AJ$65</t>
  </si>
  <si>
    <t>$D$61&lt;=$AJ$61</t>
  </si>
  <si>
    <t>$AD$101</t>
  </si>
  <si>
    <t>$AD$101&gt;=$AG$101</t>
  </si>
  <si>
    <t>$AD$102</t>
  </si>
  <si>
    <t>$AD$102&gt;=$AG$102</t>
  </si>
  <si>
    <t>$AD$103</t>
  </si>
  <si>
    <t>$AD$103&gt;=$AG$103</t>
  </si>
  <si>
    <t>$AD$104</t>
  </si>
  <si>
    <t>$AD$104&gt;=$AG$104</t>
  </si>
  <si>
    <t>$AD$105</t>
  </si>
  <si>
    <t>$AD$105&gt;=$AG$105</t>
  </si>
  <si>
    <t>$AD$106</t>
  </si>
  <si>
    <t>$AD$106&gt;=$AG$106</t>
  </si>
  <si>
    <t>$AD$101&lt;=$AF$101</t>
  </si>
  <si>
    <t>$AD$102&lt;=$AF$102</t>
  </si>
  <si>
    <t>$AD$103&lt;=$AF$103</t>
  </si>
  <si>
    <t>$AD$104&lt;=$AF$104</t>
  </si>
  <si>
    <t>$AD$105&lt;=$AF$105</t>
  </si>
  <si>
    <t>$AD$106&lt;=$AF$106</t>
  </si>
  <si>
    <t>$AL$68</t>
  </si>
  <si>
    <t>&gt;= % of total</t>
  </si>
  <si>
    <t>$AL$68&gt;=$AN$68</t>
  </si>
  <si>
    <t>$AL$84</t>
  </si>
  <si>
    <t>$AL$84&gt;=$AN$84</t>
  </si>
  <si>
    <t>$D$82&gt;=$AJ$82</t>
  </si>
  <si>
    <t>$D$83&gt;=$AJ$83</t>
  </si>
  <si>
    <t>$D$84&gt;=$AJ$84</t>
  </si>
  <si>
    <t>$D$78&gt;=$AJ$78</t>
  </si>
  <si>
    <t>$D$79&gt;=$AJ$79</t>
  </si>
  <si>
    <t>$D$80&gt;=$AJ$80</t>
  </si>
  <si>
    <t>$D$74&gt;=$AJ$74</t>
  </si>
  <si>
    <t>$D$75&gt;=$AJ$75</t>
  </si>
  <si>
    <t>$D$76&gt;=$AJ$76</t>
  </si>
  <si>
    <t>$D$70&gt;=$AJ$70</t>
  </si>
  <si>
    <t>$D$71&gt;=$AJ$71</t>
  </si>
  <si>
    <t>$D$72&gt;=$AJ$72</t>
  </si>
  <si>
    <t>$D$66&gt;=$AJ$66</t>
  </si>
  <si>
    <t>$D$67&gt;=$AJ$67</t>
  </si>
  <si>
    <t>$D$68&gt;=$AJ$68</t>
  </si>
  <si>
    <t>$D$62&gt;=$AJ$62</t>
  </si>
  <si>
    <t>$D$63&gt;=$AJ$63</t>
  </si>
  <si>
    <t>$D$64&gt;=$AJ$64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</si>
</sst>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$-809]#,##0.00"/>
    <numFmt numFmtId="166" formatCode="[$$-809]#,##0"/>
    <numFmt numFmtId="167" formatCode="[$$-380A]\ #,##0.00"/>
    <numFmt numFmtId="168" formatCode="_(* #,##0_);_(* \(#,##0\);_(* &quot;-&quot;??_);_(@_)"/>
    <numFmt numFmtId="169" formatCode="0.0%"/>
    <numFmt numFmtId="170" formatCode="_(* #,##0.0_);_(* \(#,##0.0\);_(* &quot;-&quot;??_);_(@_)"/>
    <numFmt numFmtId="171" formatCode="0.000000%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NumberFormat="1" applyFont="1" applyAlignment="1"/>
    <xf numFmtId="9" fontId="2" fillId="0" borderId="0" xfId="3" applyFont="1"/>
    <xf numFmtId="0" fontId="2" fillId="0" borderId="0" xfId="0" applyNumberFormat="1" applyFont="1"/>
    <xf numFmtId="167" fontId="2" fillId="0" borderId="0" xfId="0" applyNumberFormat="1" applyFont="1"/>
    <xf numFmtId="9" fontId="2" fillId="0" borderId="2" xfId="0" applyNumberFormat="1" applyFont="1" applyBorder="1"/>
    <xf numFmtId="9" fontId="2" fillId="0" borderId="4" xfId="0" applyNumberFormat="1" applyFont="1" applyBorder="1"/>
    <xf numFmtId="9" fontId="2" fillId="0" borderId="0" xfId="0" applyNumberFormat="1" applyFont="1"/>
    <xf numFmtId="0" fontId="2" fillId="0" borderId="0" xfId="0" applyNumberFormat="1" applyFont="1" applyAlignment="1">
      <alignment horizontal="center"/>
    </xf>
    <xf numFmtId="164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0" fontId="2" fillId="0" borderId="0" xfId="0" applyNumberFormat="1" applyFont="1"/>
    <xf numFmtId="0" fontId="3" fillId="0" borderId="0" xfId="0" applyNumberFormat="1" applyFont="1"/>
    <xf numFmtId="0" fontId="3" fillId="2" borderId="0" xfId="0" applyNumberFormat="1" applyFont="1" applyFill="1"/>
    <xf numFmtId="168" fontId="2" fillId="2" borderId="0" xfId="1" applyNumberFormat="1" applyFont="1" applyFill="1" applyAlignment="1">
      <alignment horizontal="center"/>
    </xf>
    <xf numFmtId="9" fontId="2" fillId="2" borderId="0" xfId="3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3" fillId="2" borderId="0" xfId="0" applyFont="1" applyFill="1"/>
    <xf numFmtId="9" fontId="3" fillId="2" borderId="0" xfId="3" applyFont="1" applyFill="1"/>
    <xf numFmtId="0" fontId="5" fillId="3" borderId="0" xfId="0" applyNumberFormat="1" applyFont="1" applyFill="1" applyAlignment="1">
      <alignment horizontal="center" vertical="center" wrapText="1"/>
    </xf>
    <xf numFmtId="10" fontId="2" fillId="2" borderId="0" xfId="3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9" fontId="3" fillId="2" borderId="0" xfId="3" applyFont="1" applyFill="1" applyAlignment="1">
      <alignment horizontal="center"/>
    </xf>
    <xf numFmtId="10" fontId="3" fillId="2" borderId="0" xfId="3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4" fontId="2" fillId="0" borderId="0" xfId="2" applyFont="1"/>
    <xf numFmtId="165" fontId="2" fillId="0" borderId="0" xfId="2" applyNumberFormat="1" applyFont="1"/>
    <xf numFmtId="44" fontId="2" fillId="5" borderId="0" xfId="2" applyFont="1" applyFill="1"/>
    <xf numFmtId="168" fontId="2" fillId="0" borderId="0" xfId="1" applyNumberFormat="1" applyFont="1"/>
    <xf numFmtId="0" fontId="3" fillId="2" borderId="5" xfId="0" applyNumberFormat="1" applyFont="1" applyFill="1" applyBorder="1"/>
    <xf numFmtId="10" fontId="2" fillId="5" borderId="0" xfId="0" applyNumberFormat="1" applyFont="1" applyFill="1"/>
    <xf numFmtId="167" fontId="3" fillId="5" borderId="3" xfId="0" applyNumberFormat="1" applyFont="1" applyFill="1" applyBorder="1"/>
    <xf numFmtId="0" fontId="2" fillId="5" borderId="4" xfId="0" applyFont="1" applyFill="1" applyBorder="1"/>
    <xf numFmtId="168" fontId="2" fillId="0" borderId="5" xfId="1" applyNumberFormat="1" applyFont="1" applyBorder="1"/>
    <xf numFmtId="168" fontId="2" fillId="4" borderId="0" xfId="1" applyNumberFormat="1" applyFont="1" applyFill="1"/>
    <xf numFmtId="0" fontId="5" fillId="3" borderId="7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3" fontId="3" fillId="2" borderId="0" xfId="0" applyNumberFormat="1" applyFont="1" applyFill="1"/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0" xfId="0" applyFont="1" applyFill="1"/>
    <xf numFmtId="0" fontId="5" fillId="3" borderId="8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0" fontId="2" fillId="0" borderId="0" xfId="0" applyNumberFormat="1" applyFont="1" applyFill="1"/>
    <xf numFmtId="168" fontId="3" fillId="2" borderId="0" xfId="1" applyNumberFormat="1" applyFont="1" applyFill="1"/>
    <xf numFmtId="0" fontId="2" fillId="0" borderId="0" xfId="0" applyFont="1" applyAlignment="1">
      <alignment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2" fillId="5" borderId="0" xfId="0" applyNumberFormat="1" applyFont="1" applyFill="1"/>
    <xf numFmtId="9" fontId="2" fillId="5" borderId="0" xfId="3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5" fillId="3" borderId="1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/>
    <xf numFmtId="168" fontId="2" fillId="0" borderId="0" xfId="1" applyNumberFormat="1" applyFont="1" applyBorder="1"/>
    <xf numFmtId="0" fontId="3" fillId="2" borderId="1" xfId="0" applyNumberFormat="1" applyFont="1" applyFill="1" applyBorder="1"/>
    <xf numFmtId="168" fontId="2" fillId="0" borderId="6" xfId="1" applyNumberFormat="1" applyFont="1" applyBorder="1"/>
    <xf numFmtId="10" fontId="2" fillId="5" borderId="6" xfId="0" applyNumberFormat="1" applyFont="1" applyFill="1" applyBorder="1"/>
    <xf numFmtId="10" fontId="2" fillId="0" borderId="6" xfId="0" applyNumberFormat="1" applyFont="1" applyBorder="1"/>
    <xf numFmtId="10" fontId="2" fillId="0" borderId="2" xfId="0" applyNumberFormat="1" applyFont="1" applyBorder="1"/>
    <xf numFmtId="0" fontId="3" fillId="2" borderId="11" xfId="0" applyNumberFormat="1" applyFont="1" applyFill="1" applyBorder="1"/>
    <xf numFmtId="10" fontId="2" fillId="5" borderId="0" xfId="0" applyNumberFormat="1" applyFont="1" applyFill="1" applyBorder="1"/>
    <xf numFmtId="10" fontId="2" fillId="0" borderId="0" xfId="0" applyNumberFormat="1" applyFont="1" applyBorder="1"/>
    <xf numFmtId="10" fontId="2" fillId="0" borderId="12" xfId="0" applyNumberFormat="1" applyFont="1" applyBorder="1"/>
    <xf numFmtId="0" fontId="3" fillId="2" borderId="3" xfId="0" applyNumberFormat="1" applyFont="1" applyFill="1" applyBorder="1"/>
    <xf numFmtId="168" fontId="2" fillId="0" borderId="7" xfId="1" applyNumberFormat="1" applyFont="1" applyBorder="1"/>
    <xf numFmtId="10" fontId="2" fillId="5" borderId="7" xfId="0" applyNumberFormat="1" applyFont="1" applyFill="1" applyBorder="1"/>
    <xf numFmtId="10" fontId="2" fillId="0" borderId="7" xfId="0" applyNumberFormat="1" applyFont="1" applyBorder="1"/>
    <xf numFmtId="10" fontId="2" fillId="0" borderId="4" xfId="0" applyNumberFormat="1" applyFont="1" applyBorder="1"/>
    <xf numFmtId="0" fontId="3" fillId="0" borderId="0" xfId="0" applyNumberFormat="1" applyFont="1" applyFill="1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4" xfId="0" applyNumberFormat="1" applyFont="1" applyFill="1" applyBorder="1" applyAlignment="1">
      <alignment horizontal="center" vertical="center"/>
    </xf>
    <xf numFmtId="0" fontId="3" fillId="0" borderId="0" xfId="0" applyNumberFormat="1" applyFont="1" applyAlignment="1"/>
    <xf numFmtId="0" fontId="4" fillId="0" borderId="0" xfId="0" applyNumberFormat="1" applyFont="1"/>
    <xf numFmtId="0" fontId="4" fillId="0" borderId="0" xfId="0" applyFont="1"/>
    <xf numFmtId="10" fontId="2" fillId="0" borderId="0" xfId="3" applyNumberFormat="1" applyFont="1" applyFill="1" applyAlignment="1">
      <alignment horizontal="center"/>
    </xf>
    <xf numFmtId="0" fontId="2" fillId="0" borderId="0" xfId="0" applyFont="1" applyFill="1"/>
    <xf numFmtId="9" fontId="3" fillId="0" borderId="0" xfId="3" applyFont="1" applyFill="1" applyAlignment="1">
      <alignment horizontal="center"/>
    </xf>
    <xf numFmtId="0" fontId="5" fillId="0" borderId="0" xfId="0" applyNumberFormat="1" applyFont="1" applyFill="1" applyAlignment="1">
      <alignment horizontal="center" vertical="center" wrapText="1"/>
    </xf>
    <xf numFmtId="9" fontId="2" fillId="0" borderId="0" xfId="3" applyFont="1" applyFill="1" applyAlignment="1">
      <alignment horizontal="center"/>
    </xf>
    <xf numFmtId="9" fontId="2" fillId="0" borderId="0" xfId="0" applyNumberFormat="1" applyFont="1" applyFill="1"/>
    <xf numFmtId="168" fontId="3" fillId="0" borderId="0" xfId="0" applyNumberFormat="1" applyFont="1" applyFill="1" applyAlignment="1">
      <alignment horizontal="center"/>
    </xf>
    <xf numFmtId="169" fontId="2" fillId="0" borderId="0" xfId="3" applyNumberFormat="1" applyFont="1" applyFill="1" applyAlignment="1">
      <alignment horizontal="center"/>
    </xf>
    <xf numFmtId="169" fontId="2" fillId="0" borderId="0" xfId="3" applyNumberFormat="1" applyFont="1" applyFill="1"/>
    <xf numFmtId="10" fontId="2" fillId="0" borderId="0" xfId="0" applyNumberFormat="1" applyFont="1" applyFill="1" applyBorder="1"/>
    <xf numFmtId="0" fontId="2" fillId="2" borderId="11" xfId="0" applyNumberFormat="1" applyFont="1" applyFill="1" applyBorder="1" applyAlignment="1">
      <alignment horizontal="left" indent="2"/>
    </xf>
    <xf numFmtId="0" fontId="2" fillId="2" borderId="3" xfId="0" applyNumberFormat="1" applyFont="1" applyFill="1" applyBorder="1" applyAlignment="1">
      <alignment horizontal="left" indent="2"/>
    </xf>
    <xf numFmtId="168" fontId="8" fillId="0" borderId="5" xfId="1" applyNumberFormat="1" applyFont="1" applyBorder="1" applyAlignment="1">
      <alignment vertical="center" wrapText="1"/>
    </xf>
    <xf numFmtId="0" fontId="9" fillId="2" borderId="5" xfId="0" applyNumberFormat="1" applyFont="1" applyFill="1" applyBorder="1" applyAlignment="1">
      <alignment horizontal="center" vertical="center" wrapText="1"/>
    </xf>
    <xf numFmtId="9" fontId="2" fillId="0" borderId="0" xfId="3" applyFont="1" applyFill="1"/>
    <xf numFmtId="44" fontId="2" fillId="0" borderId="0" xfId="2" applyFont="1" applyFill="1"/>
    <xf numFmtId="168" fontId="2" fillId="2" borderId="0" xfId="1" applyNumberFormat="1" applyFont="1" applyFill="1" applyBorder="1"/>
    <xf numFmtId="0" fontId="2" fillId="2" borderId="0" xfId="0" applyNumberFormat="1" applyFont="1" applyFill="1" applyBorder="1" applyAlignment="1">
      <alignment horizontal="left" indent="2"/>
    </xf>
    <xf numFmtId="168" fontId="2" fillId="2" borderId="6" xfId="1" applyNumberFormat="1" applyFont="1" applyFill="1" applyBorder="1"/>
    <xf numFmtId="0" fontId="3" fillId="2" borderId="2" xfId="0" applyNumberFormat="1" applyFont="1" applyFill="1" applyBorder="1"/>
    <xf numFmtId="0" fontId="3" fillId="2" borderId="12" xfId="0" applyNumberFormat="1" applyFont="1" applyFill="1" applyBorder="1"/>
    <xf numFmtId="0" fontId="2" fillId="2" borderId="12" xfId="0" applyNumberFormat="1" applyFont="1" applyFill="1" applyBorder="1" applyAlignment="1">
      <alignment horizontal="left" indent="2"/>
    </xf>
    <xf numFmtId="168" fontId="2" fillId="2" borderId="7" xfId="1" applyNumberFormat="1" applyFont="1" applyFill="1" applyBorder="1"/>
    <xf numFmtId="0" fontId="2" fillId="2" borderId="4" xfId="0" applyNumberFormat="1" applyFont="1" applyFill="1" applyBorder="1" applyAlignment="1">
      <alignment horizontal="left" indent="2"/>
    </xf>
    <xf numFmtId="0" fontId="3" fillId="2" borderId="6" xfId="0" applyNumberFormat="1" applyFont="1" applyFill="1" applyBorder="1"/>
    <xf numFmtId="0" fontId="3" fillId="2" borderId="7" xfId="0" applyNumberFormat="1" applyFont="1" applyFill="1" applyBorder="1"/>
    <xf numFmtId="0" fontId="3" fillId="2" borderId="4" xfId="0" applyNumberFormat="1" applyFont="1" applyFill="1" applyBorder="1"/>
    <xf numFmtId="0" fontId="5" fillId="6" borderId="0" xfId="0" applyNumberFormat="1" applyFont="1" applyFill="1" applyAlignment="1">
      <alignment horizontal="center"/>
    </xf>
    <xf numFmtId="171" fontId="2" fillId="0" borderId="0" xfId="3" applyNumberFormat="1" applyFont="1"/>
    <xf numFmtId="43" fontId="2" fillId="0" borderId="0" xfId="1" applyFont="1" applyFill="1" applyAlignment="1">
      <alignment horizontal="center"/>
    </xf>
    <xf numFmtId="43" fontId="2" fillId="0" borderId="0" xfId="1" applyFont="1" applyFill="1"/>
    <xf numFmtId="10" fontId="3" fillId="0" borderId="0" xfId="3" applyNumberFormat="1" applyFont="1" applyFill="1" applyAlignment="1">
      <alignment horizontal="center"/>
    </xf>
    <xf numFmtId="0" fontId="5" fillId="0" borderId="18" xfId="0" applyFont="1" applyFill="1" applyBorder="1" applyAlignment="1"/>
    <xf numFmtId="0" fontId="5" fillId="3" borderId="0" xfId="0" applyNumberFormat="1" applyFont="1" applyFill="1" applyAlignment="1">
      <alignment horizontal="center" vertical="center" wrapText="1"/>
    </xf>
    <xf numFmtId="9" fontId="0" fillId="0" borderId="0" xfId="3" applyFont="1"/>
    <xf numFmtId="9" fontId="12" fillId="2" borderId="0" xfId="3" applyFont="1" applyFill="1"/>
    <xf numFmtId="170" fontId="0" fillId="0" borderId="0" xfId="1" applyNumberFormat="1" applyFont="1"/>
    <xf numFmtId="170" fontId="12" fillId="2" borderId="0" xfId="1" applyNumberFormat="1" applyFont="1" applyFill="1"/>
    <xf numFmtId="0" fontId="5" fillId="3" borderId="22" xfId="0" applyNumberFormat="1" applyFont="1" applyFill="1" applyBorder="1" applyAlignment="1">
      <alignment horizontal="center" vertical="center" wrapText="1"/>
    </xf>
    <xf numFmtId="0" fontId="5" fillId="3" borderId="23" xfId="0" applyNumberFormat="1" applyFont="1" applyFill="1" applyBorder="1" applyAlignment="1">
      <alignment horizontal="center" vertical="center" wrapText="1"/>
    </xf>
    <xf numFmtId="0" fontId="5" fillId="3" borderId="24" xfId="0" applyNumberFormat="1" applyFont="1" applyFill="1" applyBorder="1" applyAlignment="1">
      <alignment horizontal="center" vertical="center" wrapText="1"/>
    </xf>
    <xf numFmtId="43" fontId="0" fillId="0" borderId="0" xfId="1" applyFont="1"/>
    <xf numFmtId="169" fontId="0" fillId="0" borderId="0" xfId="3" applyNumberFormat="1" applyFont="1"/>
    <xf numFmtId="170" fontId="0" fillId="5" borderId="0" xfId="1" applyNumberFormat="1" applyFont="1" applyFill="1"/>
    <xf numFmtId="169" fontId="0" fillId="5" borderId="0" xfId="3" applyNumberFormat="1" applyFont="1" applyFill="1"/>
    <xf numFmtId="9" fontId="0" fillId="5" borderId="0" xfId="3" applyFont="1" applyFill="1"/>
    <xf numFmtId="0" fontId="0" fillId="5" borderId="0" xfId="0" quotePrefix="1" applyFill="1"/>
    <xf numFmtId="0" fontId="0" fillId="0" borderId="0" xfId="0" applyFill="1"/>
    <xf numFmtId="0" fontId="12" fillId="0" borderId="0" xfId="0" applyFont="1"/>
    <xf numFmtId="0" fontId="0" fillId="0" borderId="26" xfId="0" applyFill="1" applyBorder="1" applyAlignment="1"/>
    <xf numFmtId="0" fontId="13" fillId="0" borderId="25" xfId="0" applyFont="1" applyFill="1" applyBorder="1" applyAlignment="1">
      <alignment horizontal="center"/>
    </xf>
    <xf numFmtId="0" fontId="0" fillId="0" borderId="27" xfId="0" applyFill="1" applyBorder="1" applyAlignment="1"/>
    <xf numFmtId="168" fontId="0" fillId="0" borderId="26" xfId="0" applyNumberFormat="1" applyFill="1" applyBorder="1" applyAlignment="1"/>
    <xf numFmtId="168" fontId="0" fillId="0" borderId="27" xfId="0" applyNumberFormat="1" applyFill="1" applyBorder="1" applyAlignment="1"/>
    <xf numFmtId="171" fontId="0" fillId="0" borderId="27" xfId="0" applyNumberFormat="1" applyFill="1" applyBorder="1" applyAlignment="1"/>
    <xf numFmtId="9" fontId="0" fillId="0" borderId="27" xfId="0" applyNumberFormat="1" applyFill="1" applyBorder="1" applyAlignment="1"/>
    <xf numFmtId="0" fontId="3" fillId="2" borderId="0" xfId="0" applyFont="1" applyFill="1" applyAlignment="1">
      <alignment horizontal="left"/>
    </xf>
    <xf numFmtId="0" fontId="5" fillId="3" borderId="18" xfId="0" applyFont="1" applyFill="1" applyBorder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3" borderId="13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5" fillId="3" borderId="19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0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59MM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6C-4678-82E1-898F697BC8C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51MM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6C-4678-82E1-898F697BC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2.'!$C$60:$D$60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2.'!$C$86:$D$86</c:f>
              <c:numCache>
                <c:formatCode>#,##0</c:formatCode>
                <c:ptCount val="2"/>
                <c:pt idx="0">
                  <c:v>58650000</c:v>
                </c:pt>
                <c:pt idx="1">
                  <c:v>51117295.663052537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C-4678-82E1-898F697B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131K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98-430E-92EA-0B7B2DAEC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150K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98-430E-92EA-0B7B2DAEC9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2.'!$C$60:$D$60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2.'!$G$86:$H$86</c:f>
              <c:numCache>
                <c:formatCode>#,##0</c:formatCode>
                <c:ptCount val="2"/>
                <c:pt idx="0">
                  <c:v>131648.84370000003</c:v>
                </c:pt>
                <c:pt idx="1">
                  <c:v>150656.67800212666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98-430E-92EA-0B7B2DAEC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59MM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D3-4D65-A1A7-2C0BDBBB4D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88MM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D3-4D65-A1A7-2C0BDBBB4D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2'!$C$60:$D$60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2'!$C$86:$D$86</c:f>
              <c:numCache>
                <c:formatCode>#,##0</c:formatCode>
                <c:ptCount val="2"/>
                <c:pt idx="0">
                  <c:v>58650000</c:v>
                </c:pt>
                <c:pt idx="1">
                  <c:v>50118976.241070449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3-4D65-A1A7-2C0BDBBB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96K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1F-4BC3-B76D-0942D5BDDD8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114K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1F-4BC3-B76D-0942D5BDD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2'!$C$60:$D$60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2'!$G$86:$H$86</c:f>
              <c:numCache>
                <c:formatCode>#,##0</c:formatCode>
                <c:ptCount val="2"/>
                <c:pt idx="0">
                  <c:v>131648.84370000003</c:v>
                </c:pt>
                <c:pt idx="1">
                  <c:v>139772.13501064345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1F-4BC3-B76D-0942D5BDD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8119450623130151"/>
          <c:w val="0.93159954249543675"/>
          <c:h val="0.740463224033305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59MM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47-476B-A698-FE225550B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52MM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47-476B-A698-FE225550B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1'!$C$59:$D$59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1'!$C$85:$D$85</c:f>
              <c:numCache>
                <c:formatCode>#,##0</c:formatCode>
                <c:ptCount val="2"/>
                <c:pt idx="0">
                  <c:v>58650000</c:v>
                </c:pt>
                <c:pt idx="1">
                  <c:v>52108413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7-476B-A698-FE225550B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132K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2A9-4D92-9907-41D4FBBAD8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134K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A9-4D92-9907-41D4FBBAD8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1'!$G$59:$H$59</c:f>
              <c:strCache>
                <c:ptCount val="2"/>
                <c:pt idx="0">
                  <c:v>Agency</c:v>
                </c:pt>
                <c:pt idx="1">
                  <c:v>Model</c:v>
                </c:pt>
              </c:strCache>
            </c:strRef>
          </c:cat>
          <c:val>
            <c:numRef>
              <c:f>'Model 1'!$G$85:$H$85</c:f>
              <c:numCache>
                <c:formatCode>#,##0</c:formatCode>
                <c:ptCount val="2"/>
                <c:pt idx="0">
                  <c:v>131648.84370000003</c:v>
                </c:pt>
                <c:pt idx="1">
                  <c:v>134121.209154276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9-4D92-9907-41D4FBBA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99936"/>
        <c:axId val="664769584"/>
      </c:barChart>
      <c:catAx>
        <c:axId val="1491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9584"/>
        <c:crosses val="autoZero"/>
        <c:auto val="1"/>
        <c:lblAlgn val="ctr"/>
        <c:lblOffset val="100"/>
        <c:noMultiLvlLbl val="0"/>
      </c:catAx>
      <c:valAx>
        <c:axId val="664769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999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371928</xdr:colOff>
      <xdr:row>97</xdr:row>
      <xdr:rowOff>117928</xdr:rowOff>
    </xdr:from>
    <xdr:to>
      <xdr:col>14</xdr:col>
      <xdr:colOff>69753</xdr:colOff>
      <xdr:row>115</xdr:row>
      <xdr:rowOff>133427</xdr:rowOff>
    </xdr:to>
    <xdr:graphicFrame macro="">
      <xdr:nvGraphicFramePr>
        <xdr:cNvPr id="2" name="Google Shape;645;p6">
          <a:extLst>
            <a:ext uri="{FF2B5EF4-FFF2-40B4-BE49-F238E27FC236}">
              <a16:creationId xmlns:a16="http://schemas.microsoft.com/office/drawing/2014/main" id="{30553374-200E-419E-9750-05F1DF7DE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416379</xdr:colOff>
      <xdr:row>96</xdr:row>
      <xdr:rowOff>129269</xdr:rowOff>
    </xdr:from>
    <xdr:to>
      <xdr:col>6</xdr:col>
      <xdr:colOff>800004</xdr:colOff>
      <xdr:row>114</xdr:row>
      <xdr:rowOff>148169</xdr:rowOff>
    </xdr:to>
    <xdr:graphicFrame macro="">
      <xdr:nvGraphicFramePr>
        <xdr:cNvPr id="3" name="Google Shape;645;p6">
          <a:extLst>
            <a:ext uri="{FF2B5EF4-FFF2-40B4-BE49-F238E27FC236}">
              <a16:creationId xmlns:a16="http://schemas.microsoft.com/office/drawing/2014/main" id="{73370F65-E4AA-4A0C-9107-8D4D6312D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412750</xdr:colOff>
      <xdr:row>87</xdr:row>
      <xdr:rowOff>158749</xdr:rowOff>
    </xdr:from>
    <xdr:to>
      <xdr:col>14</xdr:col>
      <xdr:colOff>110575</xdr:colOff>
      <xdr:row>106</xdr:row>
      <xdr:rowOff>10962</xdr:rowOff>
    </xdr:to>
    <xdr:graphicFrame macro="">
      <xdr:nvGraphicFramePr>
        <xdr:cNvPr id="5" name="Google Shape;645;p6">
          <a:extLst>
            <a:ext uri="{FF2B5EF4-FFF2-40B4-BE49-F238E27FC236}">
              <a16:creationId xmlns:a16="http://schemas.microsoft.com/office/drawing/2014/main" id="{911272A4-0317-4BAE-B128-C12659B4D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457200</xdr:colOff>
      <xdr:row>90</xdr:row>
      <xdr:rowOff>47625</xdr:rowOff>
    </xdr:from>
    <xdr:to>
      <xdr:col>6</xdr:col>
      <xdr:colOff>840825</xdr:colOff>
      <xdr:row>108</xdr:row>
      <xdr:rowOff>66525</xdr:rowOff>
    </xdr:to>
    <xdr:graphicFrame macro="">
      <xdr:nvGraphicFramePr>
        <xdr:cNvPr id="6" name="Google Shape;645;p6">
          <a:extLst>
            <a:ext uri="{FF2B5EF4-FFF2-40B4-BE49-F238E27FC236}">
              <a16:creationId xmlns:a16="http://schemas.microsoft.com/office/drawing/2014/main" id="{3A1B4FB3-0776-4063-B164-F6216B1AF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653143</xdr:colOff>
      <xdr:row>94</xdr:row>
      <xdr:rowOff>13608</xdr:rowOff>
    </xdr:from>
    <xdr:to>
      <xdr:col>24</xdr:col>
      <xdr:colOff>288375</xdr:colOff>
      <xdr:row>112</xdr:row>
      <xdr:rowOff>24571</xdr:rowOff>
    </xdr:to>
    <xdr:graphicFrame macro="">
      <xdr:nvGraphicFramePr>
        <xdr:cNvPr id="2" name="Google Shape;645;p6">
          <a:extLst>
            <a:ext uri="{FF2B5EF4-FFF2-40B4-BE49-F238E27FC236}">
              <a16:creationId xmlns:a16="http://schemas.microsoft.com/office/drawing/2014/main" id="{96C66C73-FFF8-443B-976E-4D86C0292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190499</xdr:colOff>
      <xdr:row>96</xdr:row>
      <xdr:rowOff>102054</xdr:rowOff>
    </xdr:from>
    <xdr:to>
      <xdr:col>10</xdr:col>
      <xdr:colOff>574125</xdr:colOff>
      <xdr:row>114</xdr:row>
      <xdr:rowOff>120954</xdr:rowOff>
    </xdr:to>
    <xdr:graphicFrame macro="">
      <xdr:nvGraphicFramePr>
        <xdr:cNvPr id="3" name="Google Shape;645;p6">
          <a:extLst>
            <a:ext uri="{FF2B5EF4-FFF2-40B4-BE49-F238E27FC236}">
              <a16:creationId xmlns:a16="http://schemas.microsoft.com/office/drawing/2014/main" id="{9C25C49A-33F6-42D5-9D4A-A2A56C802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3083-111B-4995-AAA2-ADB2FD7DB52C}">
  <dimension ref="A1:G81"/>
  <sheetViews>
    <sheetView showGridLines="0" workbookViewId="0"/>
  </sheetViews>
  <sheetFormatPr defaultRowHeight="12.75" x14ac:dyDescent="0.2"/>
  <cols>
    <col min="1" max="1" width="2.28515625" customWidth="1"/>
    <col min="2" max="2" width="8.5703125" bestFit="1" customWidth="1"/>
    <col min="3" max="3" width="19" bestFit="1" customWidth="1"/>
    <col min="4" max="4" width="14.28515625" bestFit="1" customWidth="1"/>
    <col min="5" max="5" width="18.85546875" bestFit="1" customWidth="1"/>
    <col min="6" max="6" width="10.5703125" bestFit="1" customWidth="1"/>
    <col min="7" max="7" width="12" bestFit="1" customWidth="1"/>
  </cols>
  <sheetData>
    <row r="1" spans="1:5" x14ac:dyDescent="0.2">
      <c r="A1" s="138" t="s">
        <v>142</v>
      </c>
    </row>
    <row r="2" spans="1:5" x14ac:dyDescent="0.2">
      <c r="A2" s="138" t="s">
        <v>236</v>
      </c>
    </row>
    <row r="3" spans="1:5" x14ac:dyDescent="0.2">
      <c r="A3" s="138" t="s">
        <v>237</v>
      </c>
    </row>
    <row r="4" spans="1:5" x14ac:dyDescent="0.2">
      <c r="A4" s="138" t="s">
        <v>238</v>
      </c>
    </row>
    <row r="5" spans="1:5" x14ac:dyDescent="0.2">
      <c r="A5" s="138" t="s">
        <v>146</v>
      </c>
    </row>
    <row r="6" spans="1:5" x14ac:dyDescent="0.2">
      <c r="A6" s="138"/>
      <c r="B6" t="s">
        <v>239</v>
      </c>
    </row>
    <row r="7" spans="1:5" x14ac:dyDescent="0.2">
      <c r="A7" s="138"/>
      <c r="B7" t="s">
        <v>240</v>
      </c>
    </row>
    <row r="8" spans="1:5" x14ac:dyDescent="0.2">
      <c r="A8" s="138"/>
      <c r="B8" t="s">
        <v>241</v>
      </c>
    </row>
    <row r="9" spans="1:5" x14ac:dyDescent="0.2">
      <c r="A9" s="138" t="s">
        <v>150</v>
      </c>
    </row>
    <row r="10" spans="1:5" x14ac:dyDescent="0.2">
      <c r="B10" t="s">
        <v>151</v>
      </c>
    </row>
    <row r="11" spans="1:5" x14ac:dyDescent="0.2">
      <c r="B11" t="s">
        <v>242</v>
      </c>
    </row>
    <row r="12" spans="1:5" x14ac:dyDescent="0.2">
      <c r="B12" t="s">
        <v>152</v>
      </c>
    </row>
    <row r="14" spans="1:5" ht="13.5" thickBot="1" x14ac:dyDescent="0.25">
      <c r="A14" t="s">
        <v>153</v>
      </c>
    </row>
    <row r="15" spans="1:5" ht="13.5" thickBot="1" x14ac:dyDescent="0.25">
      <c r="B15" s="140" t="s">
        <v>154</v>
      </c>
      <c r="C15" s="140" t="s">
        <v>155</v>
      </c>
      <c r="D15" s="140" t="s">
        <v>156</v>
      </c>
      <c r="E15" s="140" t="s">
        <v>157</v>
      </c>
    </row>
    <row r="16" spans="1:5" ht="13.5" thickBot="1" x14ac:dyDescent="0.25">
      <c r="B16" s="139" t="s">
        <v>165</v>
      </c>
      <c r="C16" s="139" t="s">
        <v>166</v>
      </c>
      <c r="D16" s="142">
        <v>150656.67800212666</v>
      </c>
      <c r="E16" s="142">
        <v>150656.67800212666</v>
      </c>
    </row>
    <row r="19" spans="1:6" ht="13.5" thickBot="1" x14ac:dyDescent="0.25">
      <c r="A19" t="s">
        <v>158</v>
      </c>
    </row>
    <row r="20" spans="1:6" ht="13.5" thickBot="1" x14ac:dyDescent="0.25">
      <c r="B20" s="140" t="s">
        <v>154</v>
      </c>
      <c r="C20" s="140" t="s">
        <v>155</v>
      </c>
      <c r="D20" s="140" t="s">
        <v>156</v>
      </c>
      <c r="E20" s="140" t="s">
        <v>157</v>
      </c>
      <c r="F20" s="140" t="s">
        <v>159</v>
      </c>
    </row>
    <row r="21" spans="1:6" x14ac:dyDescent="0.2">
      <c r="B21" s="141" t="s">
        <v>170</v>
      </c>
      <c r="C21" s="141" t="s">
        <v>168</v>
      </c>
      <c r="D21" s="143">
        <v>12079999.999999996</v>
      </c>
      <c r="E21" s="143">
        <v>12079999.999999996</v>
      </c>
      <c r="F21" s="141" t="s">
        <v>169</v>
      </c>
    </row>
    <row r="22" spans="1:6" x14ac:dyDescent="0.2">
      <c r="B22" s="141" t="s">
        <v>172</v>
      </c>
      <c r="C22" s="141" t="s">
        <v>171</v>
      </c>
      <c r="D22" s="143">
        <v>1750000.0000000035</v>
      </c>
      <c r="E22" s="143">
        <v>1750000.0000000035</v>
      </c>
      <c r="F22" s="141" t="s">
        <v>169</v>
      </c>
    </row>
    <row r="23" spans="1:6" x14ac:dyDescent="0.2">
      <c r="B23" s="141" t="s">
        <v>193</v>
      </c>
      <c r="C23" s="141" t="s">
        <v>173</v>
      </c>
      <c r="D23" s="143">
        <v>1500000</v>
      </c>
      <c r="E23" s="143">
        <v>1500000</v>
      </c>
      <c r="F23" s="141" t="s">
        <v>169</v>
      </c>
    </row>
    <row r="24" spans="1:6" x14ac:dyDescent="0.2">
      <c r="B24" s="141" t="s">
        <v>175</v>
      </c>
      <c r="C24" s="141" t="s">
        <v>168</v>
      </c>
      <c r="D24" s="143">
        <v>3000000.0000000009</v>
      </c>
      <c r="E24" s="143">
        <v>3000000.0000000009</v>
      </c>
      <c r="F24" s="141" t="s">
        <v>169</v>
      </c>
    </row>
    <row r="25" spans="1:6" x14ac:dyDescent="0.2">
      <c r="B25" s="141" t="s">
        <v>176</v>
      </c>
      <c r="C25" s="141" t="s">
        <v>171</v>
      </c>
      <c r="D25" s="143">
        <v>1850000.0000000042</v>
      </c>
      <c r="E25" s="143">
        <v>1850000.0000000042</v>
      </c>
      <c r="F25" s="141" t="s">
        <v>169</v>
      </c>
    </row>
    <row r="26" spans="1:6" x14ac:dyDescent="0.2">
      <c r="B26" s="141" t="s">
        <v>197</v>
      </c>
      <c r="C26" s="141" t="s">
        <v>173</v>
      </c>
      <c r="D26" s="143">
        <v>5149999.9999999944</v>
      </c>
      <c r="E26" s="143">
        <v>5149999.9999999944</v>
      </c>
      <c r="F26" s="141" t="s">
        <v>169</v>
      </c>
    </row>
    <row r="27" spans="1:6" x14ac:dyDescent="0.2">
      <c r="B27" s="141" t="s">
        <v>178</v>
      </c>
      <c r="C27" s="141" t="s">
        <v>168</v>
      </c>
      <c r="D27" s="143">
        <v>3000000.0000000009</v>
      </c>
      <c r="E27" s="143">
        <v>3000000.0000000009</v>
      </c>
      <c r="F27" s="141" t="s">
        <v>169</v>
      </c>
    </row>
    <row r="28" spans="1:6" x14ac:dyDescent="0.2">
      <c r="B28" s="141" t="s">
        <v>179</v>
      </c>
      <c r="C28" s="141" t="s">
        <v>171</v>
      </c>
      <c r="D28" s="143">
        <v>1850000.0000000035</v>
      </c>
      <c r="E28" s="143">
        <v>1850000.0000000035</v>
      </c>
      <c r="F28" s="141" t="s">
        <v>169</v>
      </c>
    </row>
    <row r="29" spans="1:6" x14ac:dyDescent="0.2">
      <c r="B29" s="141" t="s">
        <v>200</v>
      </c>
      <c r="C29" s="141" t="s">
        <v>173</v>
      </c>
      <c r="D29" s="143">
        <v>1500000.0000000005</v>
      </c>
      <c r="E29" s="143">
        <v>1500000.0000000005</v>
      </c>
      <c r="F29" s="141" t="s">
        <v>169</v>
      </c>
    </row>
    <row r="30" spans="1:6" x14ac:dyDescent="0.2">
      <c r="B30" s="141" t="s">
        <v>181</v>
      </c>
      <c r="C30" s="141" t="s">
        <v>171</v>
      </c>
      <c r="D30" s="143">
        <v>5050000</v>
      </c>
      <c r="E30" s="143">
        <v>5050000</v>
      </c>
      <c r="F30" s="141" t="s">
        <v>169</v>
      </c>
    </row>
    <row r="31" spans="1:6" x14ac:dyDescent="0.2">
      <c r="B31" s="141" t="s">
        <v>203</v>
      </c>
      <c r="C31" s="141" t="s">
        <v>173</v>
      </c>
      <c r="D31" s="143">
        <v>1500000</v>
      </c>
      <c r="E31" s="143">
        <v>1500000</v>
      </c>
      <c r="F31" s="141" t="s">
        <v>169</v>
      </c>
    </row>
    <row r="32" spans="1:6" x14ac:dyDescent="0.2">
      <c r="B32" s="141" t="s">
        <v>180</v>
      </c>
      <c r="C32" s="141" t="s">
        <v>168</v>
      </c>
      <c r="D32" s="143">
        <v>500000</v>
      </c>
      <c r="E32" s="143">
        <v>500000</v>
      </c>
      <c r="F32" s="141" t="s">
        <v>169</v>
      </c>
    </row>
    <row r="33" spans="1:7" x14ac:dyDescent="0.2">
      <c r="B33" s="141" t="s">
        <v>184</v>
      </c>
      <c r="C33" s="141" t="s">
        <v>168</v>
      </c>
      <c r="D33" s="143">
        <v>3000000</v>
      </c>
      <c r="E33" s="143">
        <v>3000000</v>
      </c>
      <c r="F33" s="141" t="s">
        <v>169</v>
      </c>
    </row>
    <row r="34" spans="1:7" x14ac:dyDescent="0.2">
      <c r="B34" s="141" t="s">
        <v>185</v>
      </c>
      <c r="C34" s="141" t="s">
        <v>171</v>
      </c>
      <c r="D34" s="143">
        <v>5156795.6630525244</v>
      </c>
      <c r="E34" s="143">
        <v>5156795.6630525244</v>
      </c>
      <c r="F34" s="141" t="s">
        <v>169</v>
      </c>
    </row>
    <row r="35" spans="1:7" x14ac:dyDescent="0.2">
      <c r="B35" s="141" t="s">
        <v>206</v>
      </c>
      <c r="C35" s="141" t="s">
        <v>173</v>
      </c>
      <c r="D35" s="143">
        <v>1500000</v>
      </c>
      <c r="E35" s="143">
        <v>1500000</v>
      </c>
      <c r="F35" s="141" t="s">
        <v>169</v>
      </c>
    </row>
    <row r="36" spans="1:7" x14ac:dyDescent="0.2">
      <c r="B36" s="141" t="s">
        <v>187</v>
      </c>
      <c r="C36" s="141" t="s">
        <v>168</v>
      </c>
      <c r="D36" s="143">
        <v>860000.00000000093</v>
      </c>
      <c r="E36" s="143">
        <v>860000.00000000093</v>
      </c>
      <c r="F36" s="141" t="s">
        <v>169</v>
      </c>
    </row>
    <row r="37" spans="1:7" x14ac:dyDescent="0.2">
      <c r="B37" s="141" t="s">
        <v>188</v>
      </c>
      <c r="C37" s="141" t="s">
        <v>171</v>
      </c>
      <c r="D37" s="143">
        <v>580500.00000000373</v>
      </c>
      <c r="E37" s="143">
        <v>580500.00000000373</v>
      </c>
      <c r="F37" s="141" t="s">
        <v>169</v>
      </c>
    </row>
    <row r="38" spans="1:7" ht="13.5" thickBot="1" x14ac:dyDescent="0.25">
      <c r="B38" s="139" t="s">
        <v>243</v>
      </c>
      <c r="C38" s="139" t="s">
        <v>173</v>
      </c>
      <c r="D38" s="142">
        <v>1290000.0000000005</v>
      </c>
      <c r="E38" s="142">
        <v>1290000.0000000005</v>
      </c>
      <c r="F38" s="139" t="s">
        <v>169</v>
      </c>
    </row>
    <row r="41" spans="1:7" ht="13.5" thickBot="1" x14ac:dyDescent="0.25">
      <c r="A41" t="s">
        <v>160</v>
      </c>
    </row>
    <row r="42" spans="1:7" ht="13.5" thickBot="1" x14ac:dyDescent="0.25">
      <c r="B42" s="140" t="s">
        <v>154</v>
      </c>
      <c r="C42" s="140" t="s">
        <v>155</v>
      </c>
      <c r="D42" s="140" t="s">
        <v>161</v>
      </c>
      <c r="E42" s="140" t="s">
        <v>162</v>
      </c>
      <c r="F42" s="140" t="s">
        <v>163</v>
      </c>
      <c r="G42" s="140" t="s">
        <v>164</v>
      </c>
    </row>
    <row r="43" spans="1:7" x14ac:dyDescent="0.2">
      <c r="B43" s="141" t="s">
        <v>244</v>
      </c>
      <c r="C43" s="141" t="s">
        <v>210</v>
      </c>
      <c r="D43" s="143">
        <v>94999.999999999985</v>
      </c>
      <c r="E43" s="141" t="s">
        <v>245</v>
      </c>
      <c r="F43" s="141" t="s">
        <v>196</v>
      </c>
      <c r="G43" s="141">
        <v>0</v>
      </c>
    </row>
    <row r="44" spans="1:7" x14ac:dyDescent="0.2">
      <c r="B44" s="141" t="s">
        <v>186</v>
      </c>
      <c r="C44" s="141" t="s">
        <v>207</v>
      </c>
      <c r="D44" s="143">
        <v>2730500.0000000051</v>
      </c>
      <c r="E44" s="141" t="s">
        <v>246</v>
      </c>
      <c r="F44" s="141" t="s">
        <v>192</v>
      </c>
      <c r="G44" s="141">
        <v>6794499.9999999944</v>
      </c>
    </row>
    <row r="45" spans="1:7" x14ac:dyDescent="0.2">
      <c r="B45" s="141" t="s">
        <v>183</v>
      </c>
      <c r="C45" s="141" t="s">
        <v>204</v>
      </c>
      <c r="D45" s="143">
        <v>9656795.6630525254</v>
      </c>
      <c r="E45" s="141" t="s">
        <v>247</v>
      </c>
      <c r="F45" s="141" t="s">
        <v>192</v>
      </c>
      <c r="G45" s="141">
        <v>9393204.3369474746</v>
      </c>
    </row>
    <row r="46" spans="1:7" x14ac:dyDescent="0.2">
      <c r="B46" s="141" t="s">
        <v>182</v>
      </c>
      <c r="C46" s="141" t="s">
        <v>201</v>
      </c>
      <c r="D46" s="143">
        <v>7050000</v>
      </c>
      <c r="E46" s="141" t="s">
        <v>248</v>
      </c>
      <c r="F46" s="141" t="s">
        <v>196</v>
      </c>
      <c r="G46" s="141">
        <v>0</v>
      </c>
    </row>
    <row r="47" spans="1:7" x14ac:dyDescent="0.2">
      <c r="B47" s="141" t="s">
        <v>177</v>
      </c>
      <c r="C47" s="141" t="s">
        <v>198</v>
      </c>
      <c r="D47" s="143">
        <v>6350000.0000000056</v>
      </c>
      <c r="E47" s="141" t="s">
        <v>249</v>
      </c>
      <c r="F47" s="141" t="s">
        <v>192</v>
      </c>
      <c r="G47" s="141">
        <v>12699999.999999994</v>
      </c>
    </row>
    <row r="48" spans="1:7" x14ac:dyDescent="0.2">
      <c r="B48" s="141" t="s">
        <v>174</v>
      </c>
      <c r="C48" s="141" t="s">
        <v>194</v>
      </c>
      <c r="D48" s="143">
        <v>10000000</v>
      </c>
      <c r="E48" s="141" t="s">
        <v>250</v>
      </c>
      <c r="F48" s="141" t="s">
        <v>192</v>
      </c>
      <c r="G48" s="141">
        <v>4550000</v>
      </c>
    </row>
    <row r="49" spans="2:7" x14ac:dyDescent="0.2">
      <c r="B49" s="141" t="s">
        <v>167</v>
      </c>
      <c r="C49" s="141" t="s">
        <v>190</v>
      </c>
      <c r="D49" s="143">
        <v>15330000</v>
      </c>
      <c r="E49" s="141" t="s">
        <v>251</v>
      </c>
      <c r="F49" s="141" t="s">
        <v>192</v>
      </c>
      <c r="G49" s="141">
        <v>3420000</v>
      </c>
    </row>
    <row r="50" spans="2:7" x14ac:dyDescent="0.2">
      <c r="B50" s="141" t="s">
        <v>252</v>
      </c>
      <c r="C50" s="141" t="s">
        <v>72</v>
      </c>
      <c r="D50" s="144">
        <v>0.3</v>
      </c>
      <c r="E50" s="141" t="s">
        <v>253</v>
      </c>
      <c r="F50" s="141" t="s">
        <v>196</v>
      </c>
      <c r="G50" s="144">
        <v>0</v>
      </c>
    </row>
    <row r="51" spans="2:7" x14ac:dyDescent="0.2">
      <c r="B51" s="141" t="s">
        <v>254</v>
      </c>
      <c r="C51" s="141" t="s">
        <v>72</v>
      </c>
      <c r="D51" s="144">
        <v>1</v>
      </c>
      <c r="E51" s="141" t="s">
        <v>255</v>
      </c>
      <c r="F51" s="141" t="s">
        <v>192</v>
      </c>
      <c r="G51" s="144">
        <v>0.7</v>
      </c>
    </row>
    <row r="52" spans="2:7" x14ac:dyDescent="0.2">
      <c r="B52" s="141" t="s">
        <v>256</v>
      </c>
      <c r="C52" s="141" t="s">
        <v>72</v>
      </c>
      <c r="D52" s="144">
        <v>0.46691176470588275</v>
      </c>
      <c r="E52" s="141" t="s">
        <v>257</v>
      </c>
      <c r="F52" s="141" t="s">
        <v>192</v>
      </c>
      <c r="G52" s="144">
        <v>0.16691176470588276</v>
      </c>
    </row>
    <row r="53" spans="2:7" x14ac:dyDescent="0.2">
      <c r="B53" s="141" t="s">
        <v>258</v>
      </c>
      <c r="C53" s="141" t="s">
        <v>72</v>
      </c>
      <c r="D53" s="144">
        <v>0.88124999999999998</v>
      </c>
      <c r="E53" s="141" t="s">
        <v>259</v>
      </c>
      <c r="F53" s="141" t="s">
        <v>192</v>
      </c>
      <c r="G53" s="144">
        <v>0.58125000000000004</v>
      </c>
    </row>
    <row r="54" spans="2:7" x14ac:dyDescent="0.2">
      <c r="B54" s="141" t="s">
        <v>260</v>
      </c>
      <c r="C54" s="141" t="s">
        <v>72</v>
      </c>
      <c r="D54" s="144">
        <v>0.32296975461714134</v>
      </c>
      <c r="E54" s="141" t="s">
        <v>261</v>
      </c>
      <c r="F54" s="141" t="s">
        <v>192</v>
      </c>
      <c r="G54" s="144">
        <v>2.2969754617141347E-2</v>
      </c>
    </row>
    <row r="55" spans="2:7" x14ac:dyDescent="0.2">
      <c r="B55" s="141" t="s">
        <v>262</v>
      </c>
      <c r="C55" s="141" t="s">
        <v>72</v>
      </c>
      <c r="D55" s="144">
        <v>0.94155172413793276</v>
      </c>
      <c r="E55" s="141" t="s">
        <v>263</v>
      </c>
      <c r="F55" s="141" t="s">
        <v>192</v>
      </c>
      <c r="G55" s="144">
        <v>0.64155172413793271</v>
      </c>
    </row>
    <row r="56" spans="2:7" x14ac:dyDescent="0.2">
      <c r="B56" s="141" t="s">
        <v>252</v>
      </c>
      <c r="C56" s="141" t="s">
        <v>72</v>
      </c>
      <c r="D56" s="144">
        <v>0.3</v>
      </c>
      <c r="E56" s="141" t="s">
        <v>264</v>
      </c>
      <c r="F56" s="141" t="s">
        <v>192</v>
      </c>
      <c r="G56" s="141">
        <v>0.7</v>
      </c>
    </row>
    <row r="57" spans="2:7" x14ac:dyDescent="0.2">
      <c r="B57" s="141" t="s">
        <v>254</v>
      </c>
      <c r="C57" s="141" t="s">
        <v>72</v>
      </c>
      <c r="D57" s="144">
        <v>1</v>
      </c>
      <c r="E57" s="141" t="s">
        <v>265</v>
      </c>
      <c r="F57" s="141" t="s">
        <v>196</v>
      </c>
      <c r="G57" s="141">
        <v>0</v>
      </c>
    </row>
    <row r="58" spans="2:7" x14ac:dyDescent="0.2">
      <c r="B58" s="141" t="s">
        <v>256</v>
      </c>
      <c r="C58" s="141" t="s">
        <v>72</v>
      </c>
      <c r="D58" s="144">
        <v>0.46691176470588275</v>
      </c>
      <c r="E58" s="141" t="s">
        <v>266</v>
      </c>
      <c r="F58" s="141" t="s">
        <v>192</v>
      </c>
      <c r="G58" s="141">
        <v>0.53308823529411731</v>
      </c>
    </row>
    <row r="59" spans="2:7" x14ac:dyDescent="0.2">
      <c r="B59" s="141" t="s">
        <v>258</v>
      </c>
      <c r="C59" s="141" t="s">
        <v>72</v>
      </c>
      <c r="D59" s="144">
        <v>0.88124999999999998</v>
      </c>
      <c r="E59" s="141" t="s">
        <v>267</v>
      </c>
      <c r="F59" s="141" t="s">
        <v>192</v>
      </c>
      <c r="G59" s="141">
        <v>0.11875000000000002</v>
      </c>
    </row>
    <row r="60" spans="2:7" x14ac:dyDescent="0.2">
      <c r="B60" s="141" t="s">
        <v>260</v>
      </c>
      <c r="C60" s="141" t="s">
        <v>72</v>
      </c>
      <c r="D60" s="144">
        <v>0.32296975461714134</v>
      </c>
      <c r="E60" s="141" t="s">
        <v>268</v>
      </c>
      <c r="F60" s="141" t="s">
        <v>192</v>
      </c>
      <c r="G60" s="141">
        <v>0.67703024538285872</v>
      </c>
    </row>
    <row r="61" spans="2:7" x14ac:dyDescent="0.2">
      <c r="B61" s="141" t="s">
        <v>262</v>
      </c>
      <c r="C61" s="141" t="s">
        <v>72</v>
      </c>
      <c r="D61" s="144">
        <v>0.94155172413793276</v>
      </c>
      <c r="E61" s="141" t="s">
        <v>269</v>
      </c>
      <c r="F61" s="141" t="s">
        <v>192</v>
      </c>
      <c r="G61" s="141">
        <v>5.8448275862067245E-2</v>
      </c>
    </row>
    <row r="62" spans="2:7" x14ac:dyDescent="0.2">
      <c r="B62" s="141" t="s">
        <v>270</v>
      </c>
      <c r="C62" s="141" t="s">
        <v>271</v>
      </c>
      <c r="D62" s="145">
        <v>0.51499999999999946</v>
      </c>
      <c r="E62" s="141" t="s">
        <v>272</v>
      </c>
      <c r="F62" s="141" t="s">
        <v>192</v>
      </c>
      <c r="G62" s="145">
        <v>0.11499999999999944</v>
      </c>
    </row>
    <row r="63" spans="2:7" x14ac:dyDescent="0.2">
      <c r="B63" s="141" t="s">
        <v>273</v>
      </c>
      <c r="C63" s="141" t="s">
        <v>271</v>
      </c>
      <c r="D63" s="145">
        <v>0.47244094488188904</v>
      </c>
      <c r="E63" s="141" t="s">
        <v>274</v>
      </c>
      <c r="F63" s="141" t="s">
        <v>192</v>
      </c>
      <c r="G63" s="145">
        <v>7.2440944881889013E-2</v>
      </c>
    </row>
    <row r="64" spans="2:7" x14ac:dyDescent="0.2">
      <c r="B64" s="141" t="s">
        <v>187</v>
      </c>
      <c r="C64" s="141" t="s">
        <v>168</v>
      </c>
      <c r="D64" s="143">
        <v>860000.00000000093</v>
      </c>
      <c r="E64" s="141" t="s">
        <v>275</v>
      </c>
      <c r="F64" s="141" t="s">
        <v>196</v>
      </c>
      <c r="G64" s="143">
        <v>0</v>
      </c>
    </row>
    <row r="65" spans="2:7" x14ac:dyDescent="0.2">
      <c r="B65" s="141" t="s">
        <v>188</v>
      </c>
      <c r="C65" s="141" t="s">
        <v>171</v>
      </c>
      <c r="D65" s="143">
        <v>580500.00000000373</v>
      </c>
      <c r="E65" s="141" t="s">
        <v>276</v>
      </c>
      <c r="F65" s="141" t="s">
        <v>196</v>
      </c>
      <c r="G65" s="143">
        <v>0</v>
      </c>
    </row>
    <row r="66" spans="2:7" x14ac:dyDescent="0.2">
      <c r="B66" s="141" t="s">
        <v>243</v>
      </c>
      <c r="C66" s="141" t="s">
        <v>173</v>
      </c>
      <c r="D66" s="143">
        <v>1290000.0000000005</v>
      </c>
      <c r="E66" s="141" t="s">
        <v>277</v>
      </c>
      <c r="F66" s="141" t="s">
        <v>196</v>
      </c>
      <c r="G66" s="143">
        <v>0</v>
      </c>
    </row>
    <row r="67" spans="2:7" x14ac:dyDescent="0.2">
      <c r="B67" s="141" t="s">
        <v>184</v>
      </c>
      <c r="C67" s="141" t="s">
        <v>168</v>
      </c>
      <c r="D67" s="143">
        <v>3000000</v>
      </c>
      <c r="E67" s="141" t="s">
        <v>278</v>
      </c>
      <c r="F67" s="141" t="s">
        <v>196</v>
      </c>
      <c r="G67" s="143">
        <v>0</v>
      </c>
    </row>
    <row r="68" spans="2:7" x14ac:dyDescent="0.2">
      <c r="B68" s="141" t="s">
        <v>185</v>
      </c>
      <c r="C68" s="141" t="s">
        <v>171</v>
      </c>
      <c r="D68" s="143">
        <v>5156795.6630525244</v>
      </c>
      <c r="E68" s="141" t="s">
        <v>279</v>
      </c>
      <c r="F68" s="141" t="s">
        <v>192</v>
      </c>
      <c r="G68" s="143">
        <v>3306795.6630525244</v>
      </c>
    </row>
    <row r="69" spans="2:7" x14ac:dyDescent="0.2">
      <c r="B69" s="141" t="s">
        <v>206</v>
      </c>
      <c r="C69" s="141" t="s">
        <v>173</v>
      </c>
      <c r="D69" s="143">
        <v>1500000</v>
      </c>
      <c r="E69" s="141" t="s">
        <v>280</v>
      </c>
      <c r="F69" s="141" t="s">
        <v>196</v>
      </c>
      <c r="G69" s="143">
        <v>0</v>
      </c>
    </row>
    <row r="70" spans="2:7" x14ac:dyDescent="0.2">
      <c r="B70" s="141" t="s">
        <v>180</v>
      </c>
      <c r="C70" s="141" t="s">
        <v>168</v>
      </c>
      <c r="D70" s="143">
        <v>500000</v>
      </c>
      <c r="E70" s="141" t="s">
        <v>281</v>
      </c>
      <c r="F70" s="141" t="s">
        <v>196</v>
      </c>
      <c r="G70" s="143">
        <v>0</v>
      </c>
    </row>
    <row r="71" spans="2:7" x14ac:dyDescent="0.2">
      <c r="B71" s="141" t="s">
        <v>181</v>
      </c>
      <c r="C71" s="141" t="s">
        <v>171</v>
      </c>
      <c r="D71" s="143">
        <v>5050000</v>
      </c>
      <c r="E71" s="141" t="s">
        <v>282</v>
      </c>
      <c r="F71" s="141" t="s">
        <v>192</v>
      </c>
      <c r="G71" s="143">
        <v>4700000</v>
      </c>
    </row>
    <row r="72" spans="2:7" x14ac:dyDescent="0.2">
      <c r="B72" s="141" t="s">
        <v>203</v>
      </c>
      <c r="C72" s="141" t="s">
        <v>173</v>
      </c>
      <c r="D72" s="143">
        <v>1500000</v>
      </c>
      <c r="E72" s="141" t="s">
        <v>283</v>
      </c>
      <c r="F72" s="141" t="s">
        <v>196</v>
      </c>
      <c r="G72" s="143">
        <v>0</v>
      </c>
    </row>
    <row r="73" spans="2:7" x14ac:dyDescent="0.2">
      <c r="B73" s="141" t="s">
        <v>178</v>
      </c>
      <c r="C73" s="141" t="s">
        <v>168</v>
      </c>
      <c r="D73" s="143">
        <v>3000000.0000000009</v>
      </c>
      <c r="E73" s="141" t="s">
        <v>284</v>
      </c>
      <c r="F73" s="141" t="s">
        <v>196</v>
      </c>
      <c r="G73" s="143">
        <v>0</v>
      </c>
    </row>
    <row r="74" spans="2:7" x14ac:dyDescent="0.2">
      <c r="B74" s="141" t="s">
        <v>179</v>
      </c>
      <c r="C74" s="141" t="s">
        <v>171</v>
      </c>
      <c r="D74" s="143">
        <v>1850000.0000000035</v>
      </c>
      <c r="E74" s="141" t="s">
        <v>285</v>
      </c>
      <c r="F74" s="141" t="s">
        <v>196</v>
      </c>
      <c r="G74" s="143">
        <v>0</v>
      </c>
    </row>
    <row r="75" spans="2:7" x14ac:dyDescent="0.2">
      <c r="B75" s="141" t="s">
        <v>200</v>
      </c>
      <c r="C75" s="141" t="s">
        <v>173</v>
      </c>
      <c r="D75" s="143">
        <v>1500000.0000000005</v>
      </c>
      <c r="E75" s="141" t="s">
        <v>286</v>
      </c>
      <c r="F75" s="141" t="s">
        <v>196</v>
      </c>
      <c r="G75" s="143">
        <v>0</v>
      </c>
    </row>
    <row r="76" spans="2:7" x14ac:dyDescent="0.2">
      <c r="B76" s="141" t="s">
        <v>175</v>
      </c>
      <c r="C76" s="141" t="s">
        <v>168</v>
      </c>
      <c r="D76" s="143">
        <v>3000000.0000000009</v>
      </c>
      <c r="E76" s="141" t="s">
        <v>287</v>
      </c>
      <c r="F76" s="141" t="s">
        <v>196</v>
      </c>
      <c r="G76" s="143">
        <v>0</v>
      </c>
    </row>
    <row r="77" spans="2:7" x14ac:dyDescent="0.2">
      <c r="B77" s="141" t="s">
        <v>176</v>
      </c>
      <c r="C77" s="141" t="s">
        <v>171</v>
      </c>
      <c r="D77" s="143">
        <v>1850000.0000000042</v>
      </c>
      <c r="E77" s="141" t="s">
        <v>288</v>
      </c>
      <c r="F77" s="141" t="s">
        <v>196</v>
      </c>
      <c r="G77" s="143">
        <v>0</v>
      </c>
    </row>
    <row r="78" spans="2:7" x14ac:dyDescent="0.2">
      <c r="B78" s="141" t="s">
        <v>197</v>
      </c>
      <c r="C78" s="141" t="s">
        <v>173</v>
      </c>
      <c r="D78" s="143">
        <v>5149999.9999999944</v>
      </c>
      <c r="E78" s="141" t="s">
        <v>289</v>
      </c>
      <c r="F78" s="141" t="s">
        <v>192</v>
      </c>
      <c r="G78" s="143">
        <v>5149999.9999999944</v>
      </c>
    </row>
    <row r="79" spans="2:7" x14ac:dyDescent="0.2">
      <c r="B79" s="141" t="s">
        <v>170</v>
      </c>
      <c r="C79" s="141" t="s">
        <v>168</v>
      </c>
      <c r="D79" s="143">
        <v>12079999.999999996</v>
      </c>
      <c r="E79" s="141" t="s">
        <v>290</v>
      </c>
      <c r="F79" s="141" t="s">
        <v>192</v>
      </c>
      <c r="G79" s="143">
        <v>9079999.9999999963</v>
      </c>
    </row>
    <row r="80" spans="2:7" x14ac:dyDescent="0.2">
      <c r="B80" s="141" t="s">
        <v>172</v>
      </c>
      <c r="C80" s="141" t="s">
        <v>171</v>
      </c>
      <c r="D80" s="143">
        <v>1750000.0000000035</v>
      </c>
      <c r="E80" s="141" t="s">
        <v>291</v>
      </c>
      <c r="F80" s="141" t="s">
        <v>196</v>
      </c>
      <c r="G80" s="143">
        <v>0</v>
      </c>
    </row>
    <row r="81" spans="2:7" ht="13.5" thickBot="1" x14ac:dyDescent="0.25">
      <c r="B81" s="139" t="s">
        <v>193</v>
      </c>
      <c r="C81" s="139" t="s">
        <v>173</v>
      </c>
      <c r="D81" s="142">
        <v>1500000</v>
      </c>
      <c r="E81" s="139" t="s">
        <v>292</v>
      </c>
      <c r="F81" s="139" t="s">
        <v>196</v>
      </c>
      <c r="G81" s="1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3EAF-2559-4157-B707-69731160C871}">
  <dimension ref="A1:AW107"/>
  <sheetViews>
    <sheetView showGridLines="0" topLeftCell="A49" zoomScale="60" zoomScaleNormal="60" workbookViewId="0">
      <selection activeCell="AC60" sqref="AC60:AD60"/>
    </sheetView>
  </sheetViews>
  <sheetFormatPr defaultRowHeight="12.75" x14ac:dyDescent="0.2"/>
  <cols>
    <col min="1" max="1" width="16.140625" style="1" customWidth="1"/>
    <col min="2" max="2" width="15.85546875" style="1" customWidth="1"/>
    <col min="3" max="3" width="14.42578125" style="1" bestFit="1" customWidth="1"/>
    <col min="4" max="4" width="16.28515625" style="1" bestFit="1" customWidth="1"/>
    <col min="5" max="5" width="13.140625" style="1" customWidth="1"/>
    <col min="6" max="6" width="7.42578125" style="1" customWidth="1"/>
    <col min="7" max="8" width="12.7109375" style="1" customWidth="1"/>
    <col min="9" max="9" width="11.28515625" style="1" customWidth="1"/>
    <col min="10" max="10" width="7.42578125" style="1" customWidth="1"/>
    <col min="11" max="12" width="12.7109375" style="1" customWidth="1"/>
    <col min="13" max="13" width="12.42578125" style="1" customWidth="1"/>
    <col min="14" max="14" width="7.42578125" style="1" customWidth="1"/>
    <col min="15" max="15" width="1.7109375" style="1" customWidth="1"/>
    <col min="16" max="16" width="17" style="1" customWidth="1"/>
    <col min="17" max="17" width="12.7109375" style="1" customWidth="1"/>
    <col min="18" max="18" width="1.7109375" style="1" customWidth="1"/>
    <col min="19" max="19" width="17" style="1" customWidth="1"/>
    <col min="20" max="20" width="17" style="1" hidden="1" customWidth="1"/>
    <col min="21" max="21" width="17" style="91" hidden="1" customWidth="1"/>
    <col min="22" max="23" width="17" style="1" hidden="1" customWidth="1"/>
    <col min="24" max="24" width="1.7109375" style="91" hidden="1" customWidth="1"/>
    <col min="25" max="27" width="17" style="1" hidden="1" customWidth="1"/>
    <col min="28" max="28" width="1.7109375" style="1" hidden="1" customWidth="1"/>
    <col min="29" max="29" width="16.7109375" style="1" customWidth="1"/>
    <col min="30" max="30" width="14" style="1" customWidth="1"/>
    <col min="31" max="31" width="1.7109375" style="1" customWidth="1"/>
    <col min="32" max="32" width="15.42578125" style="1" customWidth="1"/>
    <col min="33" max="33" width="14" style="1" customWidth="1"/>
    <col min="34" max="34" width="1.7109375" style="1" customWidth="1"/>
    <col min="35" max="35" width="12.7109375" style="1" customWidth="1"/>
    <col min="36" max="36" width="16.42578125" style="1" customWidth="1"/>
    <col min="37" max="37" width="1.7109375" style="1" customWidth="1"/>
    <col min="38" max="40" width="12.7109375" style="1" customWidth="1"/>
    <col min="41" max="41" width="1.7109375" style="1" customWidth="1"/>
    <col min="42" max="43" width="12.7109375" style="1" customWidth="1"/>
    <col min="44" max="44" width="1.7109375" style="1" customWidth="1"/>
    <col min="45" max="45" width="1.7109375" style="1" hidden="1" customWidth="1"/>
    <col min="46" max="46" width="17" style="1" hidden="1" customWidth="1"/>
    <col min="47" max="47" width="1.7109375" style="91" customWidth="1"/>
    <col min="48" max="48" width="10" style="1" customWidth="1"/>
    <col min="49" max="49" width="18" style="1" customWidth="1"/>
    <col min="50" max="16384" width="9.140625" style="1"/>
  </cols>
  <sheetData>
    <row r="1" spans="1:8" hidden="1" x14ac:dyDescent="0.2"/>
    <row r="2" spans="1:8" hidden="1" x14ac:dyDescent="0.2">
      <c r="A2" s="2" t="s">
        <v>74</v>
      </c>
      <c r="B2" s="1" t="s">
        <v>79</v>
      </c>
    </row>
    <row r="3" spans="1:8" hidden="1" x14ac:dyDescent="0.2">
      <c r="A3" s="2" t="s">
        <v>75</v>
      </c>
      <c r="B3" s="1" t="s">
        <v>78</v>
      </c>
    </row>
    <row r="4" spans="1:8" hidden="1" x14ac:dyDescent="0.2">
      <c r="A4" s="2"/>
    </row>
    <row r="5" spans="1:8" hidden="1" x14ac:dyDescent="0.2">
      <c r="A5" s="3" t="s">
        <v>1</v>
      </c>
      <c r="B5" s="3"/>
      <c r="C5" s="3"/>
      <c r="D5" s="3"/>
      <c r="E5" s="3"/>
      <c r="F5" s="3"/>
      <c r="G5" s="3"/>
      <c r="H5" s="3"/>
    </row>
    <row r="6" spans="1:8" hidden="1" x14ac:dyDescent="0.2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1:8" hidden="1" x14ac:dyDescent="0.2">
      <c r="A7" s="5" t="s">
        <v>9</v>
      </c>
      <c r="B7" s="11">
        <v>251.2</v>
      </c>
      <c r="C7" s="11">
        <v>49</v>
      </c>
      <c r="D7" s="11">
        <v>29.6</v>
      </c>
      <c r="E7" s="11">
        <v>193.2</v>
      </c>
      <c r="F7" s="11">
        <v>105.7</v>
      </c>
      <c r="G7" s="11">
        <v>5.5</v>
      </c>
    </row>
    <row r="8" spans="1:8" hidden="1" x14ac:dyDescent="0.2">
      <c r="A8" s="5" t="s">
        <v>10</v>
      </c>
      <c r="B8" s="12">
        <v>20</v>
      </c>
      <c r="C8" s="11">
        <v>39.4</v>
      </c>
      <c r="D8" s="11">
        <v>15.4</v>
      </c>
      <c r="E8" s="11">
        <v>20.399999999999999</v>
      </c>
      <c r="F8" s="11">
        <v>8.3000000000000007</v>
      </c>
      <c r="G8" s="11">
        <v>3.2</v>
      </c>
    </row>
    <row r="9" spans="1:8" hidden="1" x14ac:dyDescent="0.2">
      <c r="A9" s="5" t="s">
        <v>11</v>
      </c>
      <c r="B9" s="11">
        <v>248.8</v>
      </c>
      <c r="C9" s="11">
        <v>52.5</v>
      </c>
      <c r="D9" s="11">
        <v>36.700000000000003</v>
      </c>
      <c r="E9" s="12">
        <v>111</v>
      </c>
      <c r="F9" s="11">
        <v>94.2</v>
      </c>
      <c r="G9" s="11">
        <v>7.8</v>
      </c>
    </row>
    <row r="10" spans="1:8" hidden="1" x14ac:dyDescent="0.2">
      <c r="A10" s="5" t="s">
        <v>12</v>
      </c>
      <c r="B10" s="11">
        <v>51.1</v>
      </c>
      <c r="C10" s="12">
        <v>10</v>
      </c>
      <c r="D10" s="11">
        <v>13.6</v>
      </c>
      <c r="E10" s="12">
        <v>8</v>
      </c>
      <c r="F10" s="11">
        <v>29.9</v>
      </c>
      <c r="G10" s="11">
        <v>2.9</v>
      </c>
    </row>
    <row r="11" spans="1:8" hidden="1" x14ac:dyDescent="0.2">
      <c r="A11" s="5" t="s">
        <v>13</v>
      </c>
      <c r="E11" s="5" t="s">
        <v>14</v>
      </c>
    </row>
    <row r="12" spans="1:8" hidden="1" x14ac:dyDescent="0.2">
      <c r="B12" s="5"/>
      <c r="F12" s="5"/>
    </row>
    <row r="13" spans="1:8" hidden="1" x14ac:dyDescent="0.2">
      <c r="A13" s="3" t="s">
        <v>15</v>
      </c>
      <c r="B13" s="3"/>
      <c r="C13" s="3"/>
      <c r="D13" s="3"/>
      <c r="E13" s="3"/>
      <c r="F13" s="3"/>
      <c r="G13" s="3"/>
    </row>
    <row r="14" spans="1:8" hidden="1" x14ac:dyDescent="0.2">
      <c r="A14" s="5" t="s">
        <v>16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</row>
    <row r="15" spans="1:8" hidden="1" x14ac:dyDescent="0.2">
      <c r="A15" s="5" t="s">
        <v>23</v>
      </c>
      <c r="B15" s="13">
        <v>778144</v>
      </c>
      <c r="C15" s="13">
        <v>137801</v>
      </c>
      <c r="D15" s="13">
        <v>128410</v>
      </c>
      <c r="E15" s="13">
        <v>316425</v>
      </c>
      <c r="F15" s="13">
        <v>203907</v>
      </c>
      <c r="G15" s="13">
        <v>15595</v>
      </c>
    </row>
    <row r="16" spans="1:8" hidden="1" x14ac:dyDescent="0.2">
      <c r="A16" s="5" t="s">
        <v>24</v>
      </c>
      <c r="B16" s="13">
        <v>8009</v>
      </c>
      <c r="C16" s="13">
        <v>9361</v>
      </c>
      <c r="D16" s="13">
        <v>2932</v>
      </c>
      <c r="E16" s="13">
        <v>18994</v>
      </c>
      <c r="F16" s="13">
        <v>2204</v>
      </c>
      <c r="G16" s="13">
        <v>1496</v>
      </c>
    </row>
    <row r="17" spans="1:10" hidden="1" x14ac:dyDescent="0.2">
      <c r="A17" s="60" t="s">
        <v>25</v>
      </c>
      <c r="B17" s="61" t="s">
        <v>26</v>
      </c>
      <c r="C17" s="61" t="s">
        <v>27</v>
      </c>
      <c r="D17" s="61" t="s">
        <v>26</v>
      </c>
      <c r="E17" s="61" t="s">
        <v>26</v>
      </c>
      <c r="F17" s="61" t="s">
        <v>26</v>
      </c>
      <c r="G17" s="61" t="s">
        <v>26</v>
      </c>
    </row>
    <row r="18" spans="1:10" hidden="1" x14ac:dyDescent="0.2">
      <c r="A18" s="58" t="s">
        <v>86</v>
      </c>
      <c r="B18" s="59">
        <f>B16/B15</f>
        <v>1.0292439445655303E-2</v>
      </c>
      <c r="C18" s="59">
        <f t="shared" ref="C18" si="0">C16/C15</f>
        <v>6.7931292225745815E-2</v>
      </c>
      <c r="D18" s="59">
        <f>D16/D15</f>
        <v>2.2833112685927887E-2</v>
      </c>
      <c r="E18" s="59">
        <f>E16/E15</f>
        <v>6.0026862605672748E-2</v>
      </c>
      <c r="F18" s="59">
        <f>F16/F15</f>
        <v>1.0808849132202425E-2</v>
      </c>
      <c r="G18" s="59">
        <f>G16/G15</f>
        <v>9.5928182109650525E-2</v>
      </c>
    </row>
    <row r="19" spans="1:10" hidden="1" x14ac:dyDescent="0.2">
      <c r="A19" s="5" t="s">
        <v>32</v>
      </c>
    </row>
    <row r="20" spans="1:10" hidden="1" x14ac:dyDescent="0.2">
      <c r="A20" s="5"/>
    </row>
    <row r="21" spans="1:10" hidden="1" x14ac:dyDescent="0.2">
      <c r="A21" s="5" t="s">
        <v>35</v>
      </c>
      <c r="H21" s="5" t="s">
        <v>0</v>
      </c>
    </row>
    <row r="22" spans="1:10" hidden="1" x14ac:dyDescent="0.2">
      <c r="A22" s="3" t="s">
        <v>36</v>
      </c>
      <c r="B22" s="3"/>
      <c r="C22" s="3"/>
      <c r="D22" s="3"/>
      <c r="E22" s="3"/>
      <c r="F22" s="3"/>
      <c r="G22" s="3"/>
      <c r="H22" s="3"/>
    </row>
    <row r="23" spans="1:10" hidden="1" x14ac:dyDescent="0.2"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43</v>
      </c>
    </row>
    <row r="24" spans="1:10" hidden="1" x14ac:dyDescent="0.2">
      <c r="A24" s="5" t="s">
        <v>44</v>
      </c>
    </row>
    <row r="25" spans="1:10" hidden="1" x14ac:dyDescent="0.2">
      <c r="A25" s="5" t="s">
        <v>33</v>
      </c>
      <c r="B25" s="13">
        <v>6000000</v>
      </c>
      <c r="C25" s="13">
        <v>6000000</v>
      </c>
      <c r="D25" s="13">
        <v>6000000</v>
      </c>
      <c r="E25" s="13">
        <v>1000000</v>
      </c>
      <c r="F25" s="13">
        <v>6000000</v>
      </c>
      <c r="G25" s="13">
        <v>2000000</v>
      </c>
      <c r="H25" s="13">
        <v>27000000</v>
      </c>
    </row>
    <row r="26" spans="1:10" hidden="1" x14ac:dyDescent="0.2">
      <c r="A26" s="5" t="s">
        <v>46</v>
      </c>
      <c r="B26" s="14">
        <v>0.53</v>
      </c>
      <c r="C26" s="14">
        <v>0.88</v>
      </c>
      <c r="D26" s="14">
        <v>0.6</v>
      </c>
      <c r="E26" s="14">
        <v>0.56999999999999995</v>
      </c>
      <c r="F26" s="14">
        <v>0.56000000000000005</v>
      </c>
      <c r="G26" s="14">
        <v>0.71</v>
      </c>
      <c r="H26" s="14">
        <v>0.64</v>
      </c>
      <c r="J26" s="6"/>
    </row>
    <row r="27" spans="1:10" hidden="1" x14ac:dyDescent="0.2">
      <c r="A27" s="5" t="s">
        <v>47</v>
      </c>
      <c r="B27" s="15">
        <v>3180</v>
      </c>
      <c r="C27" s="15">
        <v>5280</v>
      </c>
      <c r="D27" s="15">
        <v>3600</v>
      </c>
      <c r="E27" s="15">
        <v>570</v>
      </c>
      <c r="F27" s="15">
        <v>3360</v>
      </c>
      <c r="G27" s="15">
        <v>1420</v>
      </c>
      <c r="H27" s="15">
        <v>17410</v>
      </c>
    </row>
    <row r="28" spans="1:10" hidden="1" x14ac:dyDescent="0.2">
      <c r="A28" s="5" t="s">
        <v>48</v>
      </c>
    </row>
    <row r="29" spans="1:10" hidden="1" x14ac:dyDescent="0.2">
      <c r="A29" s="5" t="s">
        <v>33</v>
      </c>
      <c r="B29" s="13">
        <v>3500000</v>
      </c>
      <c r="C29" s="13">
        <v>3700000</v>
      </c>
      <c r="D29" s="13">
        <v>3700000</v>
      </c>
      <c r="E29" s="13">
        <v>700000</v>
      </c>
      <c r="F29" s="13">
        <v>3700000</v>
      </c>
      <c r="G29" s="13">
        <v>1350000</v>
      </c>
      <c r="H29" s="13">
        <v>16650000</v>
      </c>
    </row>
    <row r="30" spans="1:10" hidden="1" x14ac:dyDescent="0.2">
      <c r="A30" s="5" t="s">
        <v>46</v>
      </c>
      <c r="B30" s="14">
        <v>4.41</v>
      </c>
      <c r="C30" s="14">
        <v>5.25</v>
      </c>
      <c r="D30" s="14">
        <v>3.22</v>
      </c>
      <c r="E30" s="14">
        <v>4.41</v>
      </c>
      <c r="F30" s="14">
        <v>3.85</v>
      </c>
      <c r="G30" s="14">
        <v>5.6</v>
      </c>
      <c r="H30" s="14">
        <v>4.3</v>
      </c>
    </row>
    <row r="31" spans="1:10" hidden="1" x14ac:dyDescent="0.2">
      <c r="A31" s="5" t="s">
        <v>47</v>
      </c>
      <c r="B31" s="15">
        <v>15435</v>
      </c>
      <c r="C31" s="15">
        <v>19425</v>
      </c>
      <c r="D31" s="15">
        <v>11914</v>
      </c>
      <c r="E31" s="15">
        <v>3087</v>
      </c>
      <c r="F31" s="15">
        <v>14245</v>
      </c>
      <c r="G31" s="15">
        <v>7560</v>
      </c>
      <c r="H31" s="15">
        <v>71666</v>
      </c>
    </row>
    <row r="32" spans="1:10" hidden="1" x14ac:dyDescent="0.2">
      <c r="A32" s="5" t="s">
        <v>52</v>
      </c>
    </row>
    <row r="33" spans="1:14" ht="12.75" hidden="1" customHeight="1" x14ac:dyDescent="0.2">
      <c r="A33" s="5" t="s">
        <v>33</v>
      </c>
      <c r="B33" s="13">
        <v>3000000</v>
      </c>
      <c r="C33" s="5" t="s">
        <v>34</v>
      </c>
      <c r="D33" s="13">
        <v>3000000</v>
      </c>
      <c r="E33" s="13">
        <v>3000000</v>
      </c>
      <c r="F33" s="13">
        <v>3000000</v>
      </c>
      <c r="G33" s="13">
        <v>3000000</v>
      </c>
      <c r="H33" s="13">
        <v>15000000</v>
      </c>
      <c r="I33" s="148" t="s">
        <v>84</v>
      </c>
      <c r="J33" s="148"/>
      <c r="K33" s="148"/>
      <c r="L33" s="29"/>
    </row>
    <row r="34" spans="1:14" hidden="1" x14ac:dyDescent="0.2">
      <c r="A34" s="5" t="s">
        <v>46</v>
      </c>
      <c r="B34" s="14">
        <v>0.4</v>
      </c>
      <c r="C34" s="5" t="s">
        <v>34</v>
      </c>
      <c r="D34" s="14">
        <v>0.4</v>
      </c>
      <c r="E34" s="14">
        <v>0.4</v>
      </c>
      <c r="F34" s="14">
        <v>0.4</v>
      </c>
      <c r="G34" s="14">
        <v>0.4</v>
      </c>
      <c r="H34" s="14">
        <v>0.4</v>
      </c>
      <c r="I34" s="148"/>
      <c r="J34" s="148"/>
      <c r="K34" s="148"/>
      <c r="L34" s="29"/>
    </row>
    <row r="35" spans="1:14" hidden="1" x14ac:dyDescent="0.2">
      <c r="A35" s="5" t="s">
        <v>47</v>
      </c>
      <c r="B35" s="15">
        <v>1200</v>
      </c>
      <c r="C35" s="5" t="s">
        <v>34</v>
      </c>
      <c r="D35" s="15">
        <v>1200</v>
      </c>
      <c r="E35" s="15">
        <v>1200</v>
      </c>
      <c r="F35" s="15">
        <v>1200</v>
      </c>
      <c r="G35" s="15">
        <v>1200</v>
      </c>
      <c r="H35" s="15">
        <v>6000</v>
      </c>
      <c r="I35" s="148"/>
      <c r="J35" s="148"/>
      <c r="K35" s="148"/>
      <c r="L35" s="29"/>
    </row>
    <row r="36" spans="1:14" hidden="1" x14ac:dyDescent="0.2">
      <c r="A36" s="5" t="s">
        <v>59</v>
      </c>
    </row>
    <row r="37" spans="1:14" hidden="1" x14ac:dyDescent="0.2">
      <c r="A37" s="5" t="s">
        <v>33</v>
      </c>
      <c r="B37" s="13">
        <v>12500000</v>
      </c>
      <c r="C37" s="13">
        <v>9700000</v>
      </c>
      <c r="D37" s="13">
        <v>12700000</v>
      </c>
      <c r="E37" s="13">
        <v>4700000</v>
      </c>
      <c r="F37" s="13">
        <v>12700000</v>
      </c>
      <c r="G37" s="13">
        <v>6350000</v>
      </c>
      <c r="H37" s="13">
        <v>58650000</v>
      </c>
      <c r="I37" s="149" t="s">
        <v>77</v>
      </c>
      <c r="J37" s="150"/>
    </row>
    <row r="38" spans="1:14" ht="13.5" hidden="1" thickBot="1" x14ac:dyDescent="0.25">
      <c r="A38" s="5" t="s">
        <v>47</v>
      </c>
      <c r="B38" s="15">
        <v>19815</v>
      </c>
      <c r="C38" s="15">
        <v>24705</v>
      </c>
      <c r="D38" s="15">
        <v>16714</v>
      </c>
      <c r="E38" s="15">
        <v>4857</v>
      </c>
      <c r="F38" s="15">
        <v>18805</v>
      </c>
      <c r="G38" s="15">
        <v>10180</v>
      </c>
      <c r="H38" s="15">
        <v>95076</v>
      </c>
      <c r="I38" s="40">
        <f>H38*1.09</f>
        <v>103632.84000000001</v>
      </c>
      <c r="J38" s="41"/>
    </row>
    <row r="39" spans="1:14" hidden="1" x14ac:dyDescent="0.2"/>
    <row r="40" spans="1:14" hidden="1" x14ac:dyDescent="0.2">
      <c r="A40" s="3" t="s">
        <v>76</v>
      </c>
      <c r="B40" s="3"/>
      <c r="C40" s="3"/>
      <c r="D40" s="3"/>
      <c r="E40" s="3"/>
      <c r="F40" s="3"/>
      <c r="G40" s="3"/>
    </row>
    <row r="41" spans="1:14" hidden="1" x14ac:dyDescent="0.2">
      <c r="D41" s="5"/>
    </row>
    <row r="42" spans="1:14" hidden="1" x14ac:dyDescent="0.2">
      <c r="A42" s="5" t="s">
        <v>62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</row>
    <row r="43" spans="1:14" hidden="1" x14ac:dyDescent="0.2">
      <c r="A43" s="5" t="s">
        <v>69</v>
      </c>
      <c r="B43" s="16">
        <v>8.9999999999999998E-4</v>
      </c>
      <c r="C43" s="16">
        <v>8.0000000000000004E-4</v>
      </c>
      <c r="D43" s="16">
        <v>1.1000000000000001E-3</v>
      </c>
      <c r="E43" s="16">
        <v>1.1999999999999999E-3</v>
      </c>
      <c r="F43" s="16">
        <v>1.1000000000000001E-3</v>
      </c>
      <c r="G43" s="16">
        <v>1.1999999999999999E-3</v>
      </c>
    </row>
    <row r="44" spans="1:14" ht="12.75" hidden="1" customHeight="1" x14ac:dyDescent="0.2">
      <c r="A44" s="5" t="s">
        <v>70</v>
      </c>
      <c r="B44" s="16">
        <v>4.3E-3</v>
      </c>
      <c r="C44" s="16">
        <v>2.3E-3</v>
      </c>
      <c r="D44" s="16">
        <v>3.2000000000000002E-3</v>
      </c>
      <c r="E44" s="16">
        <v>5.8999999999999999E-3</v>
      </c>
      <c r="F44" s="16">
        <v>4.7999999999999996E-3</v>
      </c>
      <c r="G44" s="16">
        <v>3.3999999999999998E-3</v>
      </c>
      <c r="L44" s="151" t="s">
        <v>83</v>
      </c>
      <c r="M44" s="7">
        <v>1.25</v>
      </c>
      <c r="N44" s="1" t="s">
        <v>87</v>
      </c>
    </row>
    <row r="45" spans="1:14" ht="13.5" hidden="1" thickBot="1" x14ac:dyDescent="0.25">
      <c r="A45" s="5" t="s">
        <v>71</v>
      </c>
      <c r="B45" s="11">
        <v>12.9</v>
      </c>
      <c r="C45" s="11">
        <v>41.1</v>
      </c>
      <c r="D45" s="11">
        <v>21.4</v>
      </c>
      <c r="E45" s="11">
        <v>26.5</v>
      </c>
      <c r="F45" s="11">
        <v>32.4</v>
      </c>
      <c r="G45" s="11">
        <v>20.6</v>
      </c>
      <c r="L45" s="152"/>
      <c r="M45" s="8">
        <v>0.75</v>
      </c>
      <c r="N45" s="1" t="s">
        <v>88</v>
      </c>
    </row>
    <row r="46" spans="1:14" hidden="1" x14ac:dyDescent="0.2">
      <c r="A46" s="5" t="s">
        <v>72</v>
      </c>
      <c r="B46" s="16">
        <v>1.9599999999999999E-2</v>
      </c>
      <c r="C46" s="16">
        <v>2.3900000000000001E-2</v>
      </c>
      <c r="D46" s="16">
        <v>1.8200000000000001E-2</v>
      </c>
      <c r="E46" s="16">
        <v>2.64E-2</v>
      </c>
      <c r="F46" s="16">
        <v>1.8100000000000002E-2</v>
      </c>
      <c r="G46" s="16">
        <v>1.83E-2</v>
      </c>
    </row>
    <row r="47" spans="1:14" hidden="1" x14ac:dyDescent="0.2">
      <c r="A47" s="5" t="s">
        <v>73</v>
      </c>
      <c r="B47" s="16">
        <v>5.0000000000000001E-4</v>
      </c>
      <c r="C47" s="16">
        <v>5.0000000000000001E-4</v>
      </c>
      <c r="D47" s="16">
        <v>5.0000000000000001E-4</v>
      </c>
      <c r="E47" s="16">
        <v>5.0000000000000001E-4</v>
      </c>
      <c r="F47" s="16">
        <v>5.0000000000000001E-4</v>
      </c>
      <c r="G47" s="16">
        <v>5.0000000000000001E-4</v>
      </c>
    </row>
    <row r="48" spans="1:14" hidden="1" x14ac:dyDescent="0.2">
      <c r="A48" s="5"/>
      <c r="B48" s="16"/>
      <c r="C48" s="16"/>
      <c r="D48" s="16"/>
      <c r="E48" s="16"/>
      <c r="F48" s="16"/>
      <c r="G48" s="16"/>
    </row>
    <row r="49" spans="1:49" x14ac:dyDescent="0.2">
      <c r="A49" s="5"/>
      <c r="B49" s="16"/>
      <c r="C49" s="16"/>
      <c r="D49" s="16"/>
      <c r="E49" s="16"/>
      <c r="F49" s="16"/>
      <c r="G49" s="16"/>
    </row>
    <row r="50" spans="1:49" ht="31.5" customHeight="1" x14ac:dyDescent="0.2">
      <c r="A50" s="103" t="s">
        <v>121</v>
      </c>
      <c r="B50" s="102">
        <f>H86</f>
        <v>150656.67800212666</v>
      </c>
      <c r="C50" s="53"/>
      <c r="D50" s="53"/>
      <c r="E50" s="16"/>
      <c r="F50" s="16"/>
      <c r="L50" s="16"/>
      <c r="AI50" s="155" t="s">
        <v>134</v>
      </c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</row>
    <row r="51" spans="1:49" hidden="1" x14ac:dyDescent="0.2">
      <c r="A51" s="79"/>
      <c r="B51" s="64"/>
      <c r="C51" s="53"/>
      <c r="D51" s="53"/>
      <c r="E51" s="16"/>
      <c r="F51" s="16"/>
      <c r="L51" s="16"/>
    </row>
    <row r="52" spans="1:49" hidden="1" x14ac:dyDescent="0.2">
      <c r="A52" s="65" t="s">
        <v>120</v>
      </c>
      <c r="B52" s="108"/>
      <c r="C52" s="114"/>
      <c r="D52" s="114"/>
      <c r="E52" s="108"/>
      <c r="F52" s="114"/>
      <c r="G52" s="109"/>
      <c r="L52" s="16"/>
    </row>
    <row r="53" spans="1:49" hidden="1" x14ac:dyDescent="0.2">
      <c r="A53" s="70" t="s">
        <v>116</v>
      </c>
      <c r="B53" s="106"/>
      <c r="C53" s="63"/>
      <c r="D53" s="63"/>
      <c r="E53" s="106"/>
      <c r="F53" s="63"/>
      <c r="G53" s="110"/>
      <c r="L53" s="16"/>
    </row>
    <row r="54" spans="1:49" hidden="1" x14ac:dyDescent="0.2">
      <c r="A54" s="100" t="s">
        <v>123</v>
      </c>
      <c r="B54" s="106"/>
      <c r="C54" s="107"/>
      <c r="D54" s="107"/>
      <c r="E54" s="106"/>
      <c r="F54" s="107"/>
      <c r="G54" s="111"/>
      <c r="L54" s="16"/>
    </row>
    <row r="55" spans="1:49" hidden="1" x14ac:dyDescent="0.2">
      <c r="A55" s="100" t="s">
        <v>122</v>
      </c>
      <c r="B55" s="106"/>
      <c r="C55" s="107"/>
      <c r="D55" s="107"/>
      <c r="E55" s="106"/>
      <c r="F55" s="107"/>
      <c r="G55" s="111"/>
      <c r="L55" s="16"/>
    </row>
    <row r="56" spans="1:49" hidden="1" x14ac:dyDescent="0.2">
      <c r="A56" s="100" t="s">
        <v>124</v>
      </c>
      <c r="B56" s="106"/>
      <c r="C56" s="107"/>
      <c r="D56" s="107"/>
      <c r="E56" s="106"/>
      <c r="F56" s="107"/>
      <c r="G56" s="111"/>
      <c r="L56" s="16"/>
    </row>
    <row r="57" spans="1:49" ht="13.5" hidden="1" thickBot="1" x14ac:dyDescent="0.25">
      <c r="A57" s="74" t="s">
        <v>119</v>
      </c>
      <c r="B57" s="112"/>
      <c r="C57" s="115"/>
      <c r="D57" s="115"/>
      <c r="E57" s="112"/>
      <c r="F57" s="115"/>
      <c r="G57" s="116"/>
      <c r="L57" s="16"/>
    </row>
    <row r="58" spans="1:49" ht="4.5" customHeight="1" thickBot="1" x14ac:dyDescent="0.25">
      <c r="A58" s="5"/>
      <c r="B58" s="16"/>
      <c r="C58" s="53"/>
      <c r="D58" s="53"/>
      <c r="E58" s="16"/>
      <c r="F58" s="16"/>
      <c r="Q58" s="16"/>
      <c r="AA58" s="31"/>
      <c r="AJ58" s="16"/>
      <c r="AL58" s="16"/>
    </row>
    <row r="59" spans="1:49" ht="13.5" thickBot="1" x14ac:dyDescent="0.25">
      <c r="A59" s="50"/>
      <c r="B59" s="50"/>
      <c r="C59" s="153" t="s">
        <v>101</v>
      </c>
      <c r="D59" s="153"/>
      <c r="E59" s="153"/>
      <c r="F59" s="153"/>
      <c r="G59" s="153" t="s">
        <v>102</v>
      </c>
      <c r="H59" s="153"/>
      <c r="I59" s="153"/>
      <c r="J59" s="153"/>
      <c r="K59" s="153" t="s">
        <v>107</v>
      </c>
      <c r="L59" s="153"/>
      <c r="M59" s="153"/>
      <c r="N59" s="153"/>
      <c r="Q59" s="122"/>
      <c r="S59" s="96"/>
      <c r="T59" s="96"/>
      <c r="U59" s="96"/>
      <c r="V59" s="96"/>
      <c r="W59" s="92"/>
      <c r="X59" s="92"/>
      <c r="Y59" s="96"/>
      <c r="Z59" s="96"/>
      <c r="AA59" s="96"/>
      <c r="AB59" s="91"/>
      <c r="AC59" s="96"/>
      <c r="AD59" s="121"/>
      <c r="AF59" s="147" t="s">
        <v>129</v>
      </c>
      <c r="AG59" s="147"/>
      <c r="AI59" s="154" t="s">
        <v>101</v>
      </c>
      <c r="AJ59" s="147"/>
      <c r="AL59" s="147" t="s">
        <v>125</v>
      </c>
      <c r="AM59" s="147"/>
      <c r="AN59" s="147"/>
      <c r="AP59" s="147" t="s">
        <v>107</v>
      </c>
      <c r="AQ59" s="147"/>
      <c r="AU59" s="92"/>
      <c r="AV59" s="147" t="s">
        <v>129</v>
      </c>
      <c r="AW59" s="147"/>
    </row>
    <row r="60" spans="1:49" ht="39" thickBot="1" x14ac:dyDescent="0.25">
      <c r="A60" s="86" t="s">
        <v>85</v>
      </c>
      <c r="B60" s="82" t="s">
        <v>105</v>
      </c>
      <c r="C60" s="80" t="s">
        <v>97</v>
      </c>
      <c r="D60" s="81" t="s">
        <v>96</v>
      </c>
      <c r="E60" s="81" t="s">
        <v>99</v>
      </c>
      <c r="F60" s="82" t="s">
        <v>100</v>
      </c>
      <c r="G60" s="80" t="s">
        <v>97</v>
      </c>
      <c r="H60" s="81" t="s">
        <v>96</v>
      </c>
      <c r="I60" s="81" t="s">
        <v>99</v>
      </c>
      <c r="J60" s="82" t="s">
        <v>100</v>
      </c>
      <c r="K60" s="83" t="s">
        <v>97</v>
      </c>
      <c r="L60" s="84" t="s">
        <v>96</v>
      </c>
      <c r="M60" s="84" t="s">
        <v>99</v>
      </c>
      <c r="N60" s="85" t="s">
        <v>100</v>
      </c>
      <c r="P60" s="80" t="s">
        <v>115</v>
      </c>
      <c r="Q60" s="82" t="s">
        <v>113</v>
      </c>
      <c r="S60" s="24" t="s">
        <v>12</v>
      </c>
      <c r="T60" s="24" t="s">
        <v>23</v>
      </c>
      <c r="U60" s="93"/>
      <c r="V60" s="24" t="s">
        <v>24</v>
      </c>
      <c r="W60" s="24" t="s">
        <v>86</v>
      </c>
      <c r="X60" s="93"/>
      <c r="Y60" s="24" t="s">
        <v>9</v>
      </c>
      <c r="Z60" s="24" t="s">
        <v>10</v>
      </c>
      <c r="AA60" s="24" t="s">
        <v>11</v>
      </c>
      <c r="AC60" s="24" t="s">
        <v>71</v>
      </c>
      <c r="AD60" s="24" t="s">
        <v>72</v>
      </c>
      <c r="AF60" s="24" t="s">
        <v>97</v>
      </c>
      <c r="AG60" s="24" t="s">
        <v>96</v>
      </c>
      <c r="AI60" s="80" t="s">
        <v>111</v>
      </c>
      <c r="AJ60" s="81" t="s">
        <v>130</v>
      </c>
      <c r="AL60" s="80" t="s">
        <v>132</v>
      </c>
      <c r="AM60" s="81" t="s">
        <v>111</v>
      </c>
      <c r="AN60" s="82" t="s">
        <v>131</v>
      </c>
      <c r="AP60" s="80" t="s">
        <v>111</v>
      </c>
      <c r="AQ60" s="80" t="s">
        <v>114</v>
      </c>
      <c r="AT60" s="24" t="s">
        <v>69</v>
      </c>
      <c r="AU60" s="93"/>
      <c r="AV60" s="80" t="s">
        <v>111</v>
      </c>
      <c r="AW60" s="81" t="s">
        <v>133</v>
      </c>
    </row>
    <row r="61" spans="1:49" x14ac:dyDescent="0.2">
      <c r="A61" s="18" t="s">
        <v>3</v>
      </c>
      <c r="B61" s="22"/>
      <c r="C61" s="46">
        <f>SUM(C62:C64)</f>
        <v>12500000</v>
      </c>
      <c r="D61" s="54">
        <f>SUM(D62:D64)</f>
        <v>15330000</v>
      </c>
      <c r="E61" s="54">
        <f t="shared" ref="E61:E84" si="1">IFERROR(D61-C61,0)</f>
        <v>2830000</v>
      </c>
      <c r="F61" s="23">
        <f t="shared" ref="F61:F67" si="2">E61/C61</f>
        <v>0.22639999999999999</v>
      </c>
      <c r="G61" s="54">
        <f>SUM(G62:G64)</f>
        <v>26134.501999999997</v>
      </c>
      <c r="H61" s="54">
        <f>SUM(H62:H64)</f>
        <v>21239.251000000015</v>
      </c>
      <c r="I61" s="54">
        <f>IFERROR(H61-G61,0)</f>
        <v>-4895.250999999982</v>
      </c>
      <c r="J61" s="23">
        <f>I61/G61</f>
        <v>-0.18730990167710035</v>
      </c>
      <c r="K61" s="54">
        <f>SUM(K62:K64)</f>
        <v>19815</v>
      </c>
      <c r="L61" s="54">
        <f>SUM(L62:L64)</f>
        <v>14719.900000000014</v>
      </c>
      <c r="M61" s="54">
        <f>IFERROR(L61-K61,0)</f>
        <v>-5095.0999999999858</v>
      </c>
      <c r="N61" s="23">
        <f>M61/K61</f>
        <v>-0.25713348473378683</v>
      </c>
      <c r="S61" s="19">
        <f>INDEX($B$7:$B$47,MATCH(S$60,$A$7:$A$47,0))</f>
        <v>51.1</v>
      </c>
      <c r="T61" s="19">
        <f>INDEX($B$7:$B$47,MATCH(T$60,$A$7:$A$47,0))</f>
        <v>778144</v>
      </c>
      <c r="U61" s="119">
        <f>D61/T61</f>
        <v>19.700723773491795</v>
      </c>
      <c r="V61" s="19">
        <f>INDEX($B$7:$B$47,MATCH(V$60,$A$7:$A$47,0))</f>
        <v>8009</v>
      </c>
      <c r="W61" s="20">
        <f>INDEX($B$7:$B$47,MATCH(W$60,$A$7:$A$47,0))</f>
        <v>1.0292439445655303E-2</v>
      </c>
      <c r="X61" s="94"/>
      <c r="Y61" s="19">
        <f>INDEX($B$7:$B$47,MATCH(Y$60,$A$7:$A$47,0))</f>
        <v>251.2</v>
      </c>
      <c r="Z61" s="19">
        <f>INDEX($B$7:$B$47,MATCH(Z$60,$A$7:$A$47,0))</f>
        <v>20</v>
      </c>
      <c r="AA61" s="19">
        <f>INDEX($B$7:$B$47,MATCH(AA$60,$A$7:$A$47,0))</f>
        <v>248.8</v>
      </c>
      <c r="AC61" s="21">
        <f>INDEX($B$7:$B$47,MATCH(AC$60,$A$7:$A$47,0))</f>
        <v>12.9</v>
      </c>
      <c r="AD61" s="25">
        <f>INDEX($B$7:$B$47,MATCH(AD$60,$A$7:$A$47,0))</f>
        <v>1.9599999999999999E-2</v>
      </c>
      <c r="AF61" s="20">
        <f>C61/(S61*1000000)</f>
        <v>0.2446183953033268</v>
      </c>
      <c r="AG61" s="20">
        <f>D61/(S61*1000000)</f>
        <v>0.3</v>
      </c>
      <c r="AI61" s="32" t="s">
        <v>90</v>
      </c>
      <c r="AJ61" s="37">
        <f>C61*1.5</f>
        <v>18750000</v>
      </c>
      <c r="AM61" s="31"/>
      <c r="AN61" s="37"/>
      <c r="AP61" s="32" t="s">
        <v>90</v>
      </c>
      <c r="AQ61" s="37">
        <v>95000</v>
      </c>
      <c r="AT61" s="28">
        <f>AVERAGE(P74,P82,P78,P70,P66,P62)</f>
        <v>1.0499999999999999E-3</v>
      </c>
      <c r="AU61" s="94"/>
      <c r="AV61" s="32" t="s">
        <v>90</v>
      </c>
      <c r="AW61" s="9">
        <v>1</v>
      </c>
    </row>
    <row r="62" spans="1:49" x14ac:dyDescent="0.2">
      <c r="A62" s="5" t="s">
        <v>3</v>
      </c>
      <c r="B62" s="5" t="s">
        <v>44</v>
      </c>
      <c r="C62" s="13">
        <f>$B$25</f>
        <v>6000000</v>
      </c>
      <c r="D62" s="43">
        <v>12079999.999999996</v>
      </c>
      <c r="E62" s="37">
        <f t="shared" si="1"/>
        <v>6079999.9999999963</v>
      </c>
      <c r="F62" s="4">
        <f t="shared" si="2"/>
        <v>1.0133333333333328</v>
      </c>
      <c r="G62" s="37">
        <f>C62*P62</f>
        <v>5400</v>
      </c>
      <c r="H62" s="37">
        <f>D62*P62</f>
        <v>10871.999999999996</v>
      </c>
      <c r="I62" s="37">
        <f t="shared" ref="I62:I84" si="3">IFERROR(H62-G62,0)</f>
        <v>5471.9999999999964</v>
      </c>
      <c r="J62" s="4">
        <f t="shared" ref="J62:J86" si="4">I62/G62</f>
        <v>1.0133333333333328</v>
      </c>
      <c r="K62" s="37">
        <f>Q62*(C62/1000)</f>
        <v>3180</v>
      </c>
      <c r="L62" s="37">
        <f>Q62*(D62/1000)</f>
        <v>6402.3999999999987</v>
      </c>
      <c r="M62" s="37">
        <f t="shared" ref="M62:M84" si="5">IFERROR(L62-K62,0)</f>
        <v>3222.3999999999987</v>
      </c>
      <c r="N62" s="4">
        <f t="shared" ref="N62:N67" si="6">M62/K62</f>
        <v>1.013333333333333</v>
      </c>
      <c r="P62" s="90">
        <f>INDEX($B$7:$B$47,MATCH(AT$60,$A$7:$A$47,0))</f>
        <v>8.9999999999999998E-4</v>
      </c>
      <c r="Q62" s="34">
        <f>$B$26</f>
        <v>0.53</v>
      </c>
      <c r="U62" s="120"/>
      <c r="AD62" s="16"/>
      <c r="AE62" s="16"/>
      <c r="AF62" s="4"/>
      <c r="AG62" s="4"/>
      <c r="AI62" s="33" t="s">
        <v>89</v>
      </c>
      <c r="AJ62" s="37">
        <f>C62*0.5</f>
        <v>3000000</v>
      </c>
      <c r="AL62" s="34"/>
      <c r="AT62" s="24" t="s">
        <v>70</v>
      </c>
      <c r="AV62" s="33" t="s">
        <v>89</v>
      </c>
      <c r="AW62" s="9">
        <v>0.3</v>
      </c>
    </row>
    <row r="63" spans="1:49" x14ac:dyDescent="0.2">
      <c r="A63" s="5" t="s">
        <v>3</v>
      </c>
      <c r="B63" s="5" t="s">
        <v>48</v>
      </c>
      <c r="C63" s="13">
        <f>$B$29</f>
        <v>3500000</v>
      </c>
      <c r="D63" s="43">
        <v>1750000.0000000035</v>
      </c>
      <c r="E63" s="37">
        <f t="shared" si="1"/>
        <v>-1749999.9999999965</v>
      </c>
      <c r="F63" s="4">
        <f t="shared" si="2"/>
        <v>-0.499999999999999</v>
      </c>
      <c r="G63" s="37">
        <f>C63*P63+C63*P63*AC61*AD61</f>
        <v>18855.241999999998</v>
      </c>
      <c r="H63" s="37">
        <f>D63*P63+D63*P63*AC61*AD61</f>
        <v>9427.6210000000192</v>
      </c>
      <c r="I63" s="37">
        <f t="shared" si="3"/>
        <v>-9427.6209999999792</v>
      </c>
      <c r="J63" s="4">
        <f t="shared" si="4"/>
        <v>-0.49999999999999895</v>
      </c>
      <c r="K63" s="37">
        <f>Q63*(C63/1000)</f>
        <v>15435</v>
      </c>
      <c r="L63" s="37">
        <f>Q63*(D63/1000)</f>
        <v>7717.5000000000155</v>
      </c>
      <c r="M63" s="37">
        <f t="shared" si="5"/>
        <v>-7717.4999999999845</v>
      </c>
      <c r="N63" s="4">
        <f t="shared" si="6"/>
        <v>-0.499999999999999</v>
      </c>
      <c r="P63" s="90">
        <f>INDEX($B$7:$B$47,MATCH(AT$62,$A$7:$A$47,0))</f>
        <v>4.3E-3</v>
      </c>
      <c r="Q63" s="34">
        <f>$B$30</f>
        <v>4.41</v>
      </c>
      <c r="U63" s="98"/>
      <c r="AD63" s="16"/>
      <c r="AE63" s="16"/>
      <c r="AF63" s="4"/>
      <c r="AG63" s="4"/>
      <c r="AI63" s="33" t="s">
        <v>89</v>
      </c>
      <c r="AJ63" s="37">
        <f>C63*0.5</f>
        <v>1750000</v>
      </c>
      <c r="AL63" s="34"/>
      <c r="AT63" s="28">
        <f>AVERAGE(P75,P83,P79,P71,P67,P63)</f>
        <v>3.9833333333333327E-3</v>
      </c>
    </row>
    <row r="64" spans="1:49" x14ac:dyDescent="0.2">
      <c r="A64" s="5" t="s">
        <v>3</v>
      </c>
      <c r="B64" s="5" t="s">
        <v>52</v>
      </c>
      <c r="C64" s="13">
        <f>$B$33</f>
        <v>3000000</v>
      </c>
      <c r="D64" s="43">
        <v>1500000</v>
      </c>
      <c r="E64" s="37">
        <f t="shared" si="1"/>
        <v>-1500000</v>
      </c>
      <c r="F64" s="4">
        <f t="shared" si="2"/>
        <v>-0.5</v>
      </c>
      <c r="G64" s="37">
        <f>C64*P64+C64*P64*AC61*AD61</f>
        <v>1879.26</v>
      </c>
      <c r="H64" s="37">
        <f>D64*P64+D64*P64*AC61*AD61</f>
        <v>939.63</v>
      </c>
      <c r="I64" s="37">
        <f t="shared" si="3"/>
        <v>-939.63</v>
      </c>
      <c r="J64" s="4">
        <f t="shared" si="4"/>
        <v>-0.5</v>
      </c>
      <c r="K64" s="37">
        <f>Q64*(C64/1000)</f>
        <v>1200</v>
      </c>
      <c r="L64" s="37">
        <f>Q64*(D64/1000)</f>
        <v>600</v>
      </c>
      <c r="M64" s="37">
        <f t="shared" si="5"/>
        <v>-600</v>
      </c>
      <c r="N64" s="4">
        <f t="shared" si="6"/>
        <v>-0.5</v>
      </c>
      <c r="P64" s="90">
        <f>INDEX($B$7:$B$47,MATCH(AT$64,$A$7:$A$47,0))</f>
        <v>5.0000000000000001E-4</v>
      </c>
      <c r="Q64" s="34">
        <f>$B$34</f>
        <v>0.4</v>
      </c>
      <c r="U64" s="98"/>
      <c r="AD64" s="16"/>
      <c r="AE64" s="16"/>
      <c r="AF64" s="4"/>
      <c r="AG64" s="4"/>
      <c r="AI64" s="33" t="s">
        <v>89</v>
      </c>
      <c r="AJ64" s="37">
        <f>C64*0.5</f>
        <v>1500000</v>
      </c>
      <c r="AL64" s="34"/>
      <c r="AT64" s="24" t="s">
        <v>73</v>
      </c>
    </row>
    <row r="65" spans="1:47" x14ac:dyDescent="0.2">
      <c r="A65" s="18" t="s">
        <v>4</v>
      </c>
      <c r="B65" s="22"/>
      <c r="C65" s="46">
        <f>SUM(C66:C68)</f>
        <v>9700000</v>
      </c>
      <c r="D65" s="54">
        <f>SUM(D66:D68)</f>
        <v>10000000</v>
      </c>
      <c r="E65" s="54">
        <f t="shared" si="1"/>
        <v>300000</v>
      </c>
      <c r="F65" s="23">
        <f t="shared" si="2"/>
        <v>3.0927835051546393E-2</v>
      </c>
      <c r="G65" s="54">
        <f>SUM(G66:G68)</f>
        <v>21669.287900000003</v>
      </c>
      <c r="H65" s="54">
        <f>SUM(H66:H68)</f>
        <v>15939.040700000014</v>
      </c>
      <c r="I65" s="54">
        <f t="shared" si="3"/>
        <v>-5730.2471999999889</v>
      </c>
      <c r="J65" s="23">
        <f t="shared" si="4"/>
        <v>-0.26444095562549558</v>
      </c>
      <c r="K65" s="54">
        <f>SUM(K66:K68)</f>
        <v>24705</v>
      </c>
      <c r="L65" s="54">
        <f>SUM(L66:L68)</f>
        <v>14412.50000000002</v>
      </c>
      <c r="M65" s="54">
        <f t="shared" si="5"/>
        <v>-10292.49999999998</v>
      </c>
      <c r="N65" s="23">
        <f t="shared" si="6"/>
        <v>-0.4166160696215333</v>
      </c>
      <c r="P65" s="91"/>
      <c r="S65" s="19">
        <f>INDEX($C$7:$C$47,MATCH(S$60,$A$7:$A$47,0))</f>
        <v>10</v>
      </c>
      <c r="T65" s="19">
        <f>INDEX($C$7:$C$47,MATCH(T$60,$A$7:$A$47,0))</f>
        <v>137801</v>
      </c>
      <c r="U65" s="119">
        <f>D65/T65</f>
        <v>72.568413872177999</v>
      </c>
      <c r="V65" s="19">
        <f>INDEX($C$7:$C$47,MATCH(V$60,$A$7:$A$47,0))</f>
        <v>9361</v>
      </c>
      <c r="W65" s="20">
        <f>INDEX($C$7:$C$47,MATCH(W$60,$A$7:$A$47,0))</f>
        <v>6.7931292225745815E-2</v>
      </c>
      <c r="X65" s="94"/>
      <c r="Y65" s="19">
        <f>INDEX($C$7:$C$47,MATCH(Y$60,$A$7:$A$47,0))</f>
        <v>49</v>
      </c>
      <c r="Z65" s="19">
        <f>INDEX($C$7:$C$47,MATCH(Z$60,$A$7:$A$47,0))</f>
        <v>39.4</v>
      </c>
      <c r="AA65" s="19">
        <f>INDEX($C$7:$C$47,MATCH(AA$60,$A$7:$A$47,0))</f>
        <v>52.5</v>
      </c>
      <c r="AC65" s="21">
        <f>INDEX($C$7:$C$47,MATCH(AC$60,$A$7:$A$47,0))</f>
        <v>41.1</v>
      </c>
      <c r="AD65" s="25">
        <f>INDEX($C$7:$C$47,MATCH(AD$60,$A$7:$A$47,0))</f>
        <v>2.3900000000000001E-2</v>
      </c>
      <c r="AF65" s="20">
        <f>C65/(S65*1000000)</f>
        <v>0.97</v>
      </c>
      <c r="AG65" s="20">
        <f>D65/(S65*1000000)</f>
        <v>1</v>
      </c>
      <c r="AI65" s="32" t="s">
        <v>90</v>
      </c>
      <c r="AJ65" s="37">
        <f>C65*1.5</f>
        <v>14550000</v>
      </c>
      <c r="AT65" s="28">
        <f>AVERAGE(P76,P84,P80,P72,P68,P64)</f>
        <v>5.0000000000000001E-4</v>
      </c>
      <c r="AU65" s="94"/>
    </row>
    <row r="66" spans="1:47" x14ac:dyDescent="0.2">
      <c r="A66" s="5" t="s">
        <v>4</v>
      </c>
      <c r="B66" s="5" t="s">
        <v>44</v>
      </c>
      <c r="C66" s="13">
        <f>$C$25</f>
        <v>6000000</v>
      </c>
      <c r="D66" s="43">
        <v>3000000.0000000009</v>
      </c>
      <c r="E66" s="37">
        <f t="shared" si="1"/>
        <v>-2999999.9999999991</v>
      </c>
      <c r="F66" s="4">
        <f t="shared" si="2"/>
        <v>-0.49999999999999983</v>
      </c>
      <c r="G66" s="37">
        <f>C66*P66</f>
        <v>4800</v>
      </c>
      <c r="H66" s="37">
        <f>D66*P66</f>
        <v>2400.0000000000009</v>
      </c>
      <c r="I66" s="37">
        <f t="shared" si="3"/>
        <v>-2399.9999999999991</v>
      </c>
      <c r="J66" s="4">
        <f t="shared" si="4"/>
        <v>-0.49999999999999983</v>
      </c>
      <c r="K66" s="37">
        <f>Q66*(C66/1000)</f>
        <v>5280</v>
      </c>
      <c r="L66" s="37">
        <f>Q66*(D66/1000)</f>
        <v>2640.0000000000009</v>
      </c>
      <c r="M66" s="37">
        <f t="shared" si="5"/>
        <v>-2639.9999999999991</v>
      </c>
      <c r="N66" s="4">
        <f t="shared" si="6"/>
        <v>-0.49999999999999983</v>
      </c>
      <c r="P66" s="90">
        <f>INDEX($C$7:$C$47,MATCH(AT$60,$A$7:$A$47,0))</f>
        <v>8.0000000000000004E-4</v>
      </c>
      <c r="Q66" s="35">
        <f>$C$26</f>
        <v>0.88</v>
      </c>
      <c r="U66" s="120"/>
      <c r="AD66" s="16"/>
      <c r="AE66" s="16"/>
      <c r="AF66" s="4"/>
      <c r="AG66" s="4"/>
      <c r="AI66" s="33" t="s">
        <v>89</v>
      </c>
      <c r="AJ66" s="37">
        <f>C66*0.5</f>
        <v>3000000</v>
      </c>
      <c r="AL66" s="35"/>
    </row>
    <row r="67" spans="1:47" x14ac:dyDescent="0.2">
      <c r="A67" s="5" t="s">
        <v>4</v>
      </c>
      <c r="B67" s="5" t="s">
        <v>48</v>
      </c>
      <c r="C67" s="13">
        <f>$C$29</f>
        <v>3700000</v>
      </c>
      <c r="D67" s="43">
        <v>1850000.0000000042</v>
      </c>
      <c r="E67" s="37">
        <f t="shared" si="1"/>
        <v>-1849999.9999999958</v>
      </c>
      <c r="F67" s="4">
        <f t="shared" si="2"/>
        <v>-0.49999999999999889</v>
      </c>
      <c r="G67" s="37">
        <f>C67*P67+C67*P67*AC65*AD65</f>
        <v>16869.287900000003</v>
      </c>
      <c r="H67" s="37">
        <f>D67*P67+D67*P67*AC65*AD65</f>
        <v>8434.6439500000197</v>
      </c>
      <c r="I67" s="37">
        <f t="shared" si="3"/>
        <v>-8434.6439499999833</v>
      </c>
      <c r="J67" s="4">
        <f t="shared" si="4"/>
        <v>-0.49999999999999895</v>
      </c>
      <c r="K67" s="37">
        <f>Q67*(C67/1000)</f>
        <v>19425</v>
      </c>
      <c r="L67" s="37">
        <f>Q67*(D67/1000)</f>
        <v>9712.5000000000218</v>
      </c>
      <c r="M67" s="37">
        <f t="shared" si="5"/>
        <v>-9712.4999999999782</v>
      </c>
      <c r="N67" s="4">
        <f t="shared" si="6"/>
        <v>-0.49999999999999889</v>
      </c>
      <c r="P67" s="90">
        <f>INDEX($C$7:$C$47,MATCH(AT$62,$A$7:$A$47,0))</f>
        <v>2.3E-3</v>
      </c>
      <c r="Q67" s="35">
        <f>$C$30</f>
        <v>5.25</v>
      </c>
      <c r="U67" s="98"/>
      <c r="AD67" s="16"/>
      <c r="AE67" s="16"/>
      <c r="AF67" s="4"/>
      <c r="AG67" s="4"/>
      <c r="AI67" s="33" t="s">
        <v>89</v>
      </c>
      <c r="AJ67" s="37">
        <f>C67*0.5</f>
        <v>1850000</v>
      </c>
      <c r="AL67" s="35"/>
    </row>
    <row r="68" spans="1:47" x14ac:dyDescent="0.2">
      <c r="A68" s="5" t="s">
        <v>4</v>
      </c>
      <c r="B68" s="5" t="s">
        <v>52</v>
      </c>
      <c r="C68" s="13">
        <v>0</v>
      </c>
      <c r="D68" s="43">
        <v>5149999.9999999944</v>
      </c>
      <c r="E68" s="37">
        <f t="shared" si="1"/>
        <v>5149999.9999999944</v>
      </c>
      <c r="F68" s="4"/>
      <c r="G68" s="37">
        <f>C68*P68+C68*P68*AC65*AD65</f>
        <v>0</v>
      </c>
      <c r="H68" s="37">
        <f>D68*P68+D68*P68*AC65*AD65</f>
        <v>5104.3967499999944</v>
      </c>
      <c r="I68" s="37">
        <f t="shared" si="3"/>
        <v>5104.3967499999944</v>
      </c>
      <c r="J68" s="4"/>
      <c r="K68" s="37">
        <f>Q68*(C68/1000)</f>
        <v>0</v>
      </c>
      <c r="L68" s="37">
        <f>Q68*(D68/1000)</f>
        <v>2059.9999999999977</v>
      </c>
      <c r="M68" s="37">
        <f t="shared" si="5"/>
        <v>2059.9999999999977</v>
      </c>
      <c r="N68" s="4"/>
      <c r="P68" s="90">
        <f>INDEX($C$7:$C$47,MATCH(AT$64,$A$7:$A$47,0))</f>
        <v>5.0000000000000001E-4</v>
      </c>
      <c r="Q68" s="36">
        <f>Q64</f>
        <v>0.4</v>
      </c>
      <c r="U68" s="98"/>
      <c r="AD68" s="16"/>
      <c r="AE68" s="16"/>
      <c r="AF68" s="4"/>
      <c r="AG68" s="4"/>
      <c r="AI68" s="33" t="s">
        <v>89</v>
      </c>
      <c r="AJ68" s="37">
        <v>0</v>
      </c>
      <c r="AL68" s="104">
        <f>D68/D65</f>
        <v>0.51499999999999946</v>
      </c>
      <c r="AM68" s="33" t="s">
        <v>89</v>
      </c>
      <c r="AN68" s="4">
        <v>0.4</v>
      </c>
    </row>
    <row r="69" spans="1:47" x14ac:dyDescent="0.2">
      <c r="A69" s="18" t="s">
        <v>5</v>
      </c>
      <c r="B69" s="22"/>
      <c r="C69" s="46">
        <f>SUM(C70:C72)</f>
        <v>12700000</v>
      </c>
      <c r="D69" s="54">
        <f>SUM(D70:D72)</f>
        <v>6350000.0000000056</v>
      </c>
      <c r="E69" s="54">
        <f t="shared" si="1"/>
        <v>-6349999.9999999944</v>
      </c>
      <c r="F69" s="23">
        <f t="shared" ref="F69:F84" si="7">E69/C69</f>
        <v>-0.49999999999999956</v>
      </c>
      <c r="G69" s="54">
        <f>SUM(G70:G72)</f>
        <v>25135.663200000003</v>
      </c>
      <c r="H69" s="54">
        <f>SUM(H70:H72)</f>
        <v>12567.831600000018</v>
      </c>
      <c r="I69" s="54">
        <f t="shared" si="3"/>
        <v>-12567.831599999985</v>
      </c>
      <c r="J69" s="23">
        <f t="shared" si="4"/>
        <v>-0.49999999999999933</v>
      </c>
      <c r="K69" s="54">
        <f>SUM(K70:K72)</f>
        <v>16714</v>
      </c>
      <c r="L69" s="54">
        <f>SUM(L70:L72)</f>
        <v>8357.0000000000109</v>
      </c>
      <c r="M69" s="54">
        <f t="shared" si="5"/>
        <v>-8356.9999999999891</v>
      </c>
      <c r="N69" s="23">
        <f t="shared" ref="N69:N86" si="8">M69/K69</f>
        <v>-0.49999999999999933</v>
      </c>
      <c r="P69" s="91"/>
      <c r="S69" s="19">
        <f>INDEX($D$7:$D$47,MATCH(S$60,$A$7:$A$47,0))</f>
        <v>13.6</v>
      </c>
      <c r="T69" s="19">
        <f>INDEX($D$7:$D$47,MATCH(T$60,$A$7:$A$47,0))</f>
        <v>128410</v>
      </c>
      <c r="U69" s="119">
        <f>D69/T69</f>
        <v>49.450977338213576</v>
      </c>
      <c r="V69" s="19">
        <f>INDEX($D$7:$D$47,MATCH(V$60,$A$7:$A$47,0))</f>
        <v>2932</v>
      </c>
      <c r="W69" s="20">
        <f>INDEX($D$7:$D$47,MATCH(W$60,$A$7:$A$47,0))</f>
        <v>2.2833112685927887E-2</v>
      </c>
      <c r="X69" s="94"/>
      <c r="Y69" s="19">
        <f>INDEX($D$7:$D$47,MATCH(Y$60,$A$7:$A$47,0))</f>
        <v>29.6</v>
      </c>
      <c r="Z69" s="19">
        <f>INDEX($D$7:$D$47,MATCH(Z$60,$A$7:$A$47,0))</f>
        <v>15.4</v>
      </c>
      <c r="AA69" s="19">
        <f>INDEX($D$7:$D$47,MATCH(AA$60,$A$7:$A$47,0))</f>
        <v>36.700000000000003</v>
      </c>
      <c r="AC69" s="21">
        <f>INDEX($D$7:$D$47,MATCH(AC$60,$A$7:$A$47,0))</f>
        <v>21.4</v>
      </c>
      <c r="AD69" s="25">
        <f>INDEX($D$7:$D$47,MATCH(AD$60,$A$7:$A$47,0))</f>
        <v>1.8200000000000001E-2</v>
      </c>
      <c r="AF69" s="20">
        <f>C69/(S69*1000000)</f>
        <v>0.93382352941176472</v>
      </c>
      <c r="AG69" s="20">
        <f>D69/(S69*1000000)</f>
        <v>0.46691176470588275</v>
      </c>
      <c r="AI69" s="32" t="s">
        <v>90</v>
      </c>
      <c r="AJ69" s="37">
        <f>C69*1.5</f>
        <v>19050000</v>
      </c>
      <c r="AU69" s="94"/>
    </row>
    <row r="70" spans="1:47" x14ac:dyDescent="0.2">
      <c r="A70" s="5" t="s">
        <v>5</v>
      </c>
      <c r="B70" s="5" t="s">
        <v>44</v>
      </c>
      <c r="C70" s="13">
        <f>$D$25</f>
        <v>6000000</v>
      </c>
      <c r="D70" s="43">
        <v>3000000.0000000009</v>
      </c>
      <c r="E70" s="37">
        <f t="shared" si="1"/>
        <v>-2999999.9999999991</v>
      </c>
      <c r="F70" s="4">
        <f t="shared" si="7"/>
        <v>-0.49999999999999983</v>
      </c>
      <c r="G70" s="37">
        <f>C70*P70</f>
        <v>6600</v>
      </c>
      <c r="H70" s="37">
        <f>D70*P70</f>
        <v>3300.0000000000014</v>
      </c>
      <c r="I70" s="37">
        <f t="shared" si="3"/>
        <v>-3299.9999999999986</v>
      </c>
      <c r="J70" s="4">
        <f t="shared" si="4"/>
        <v>-0.49999999999999978</v>
      </c>
      <c r="K70" s="37">
        <f>Q70*(C70/1000)</f>
        <v>3600</v>
      </c>
      <c r="L70" s="37">
        <f>Q70*(D70/1000)</f>
        <v>1800.0000000000005</v>
      </c>
      <c r="M70" s="37">
        <f t="shared" si="5"/>
        <v>-1799.9999999999995</v>
      </c>
      <c r="N70" s="4">
        <f t="shared" si="8"/>
        <v>-0.49999999999999989</v>
      </c>
      <c r="P70" s="90">
        <f>INDEX($D$7:$D$47,MATCH(AT$60,$A$7:$A$47,0))</f>
        <v>1.1000000000000001E-3</v>
      </c>
      <c r="Q70" s="35">
        <f>$D$26</f>
        <v>0.6</v>
      </c>
      <c r="U70" s="120"/>
      <c r="AD70" s="16"/>
      <c r="AE70" s="16"/>
      <c r="AF70" s="4"/>
      <c r="AG70" s="4"/>
      <c r="AI70" s="33" t="s">
        <v>89</v>
      </c>
      <c r="AJ70" s="37">
        <f>C70*0.5</f>
        <v>3000000</v>
      </c>
      <c r="AL70" s="35"/>
    </row>
    <row r="71" spans="1:47" x14ac:dyDescent="0.2">
      <c r="A71" s="5" t="s">
        <v>5</v>
      </c>
      <c r="B71" s="5" t="s">
        <v>48</v>
      </c>
      <c r="C71" s="13">
        <f>$D$29</f>
        <v>3700000</v>
      </c>
      <c r="D71" s="43">
        <v>1850000.0000000035</v>
      </c>
      <c r="E71" s="37">
        <f t="shared" si="1"/>
        <v>-1849999.9999999965</v>
      </c>
      <c r="F71" s="4">
        <f t="shared" si="7"/>
        <v>-0.49999999999999906</v>
      </c>
      <c r="G71" s="37">
        <f>C71*P71+C71*P71*AC69*AD69</f>
        <v>16451.443200000002</v>
      </c>
      <c r="H71" s="37">
        <f>D71*P71+D71*P71*AC69*AD69</f>
        <v>8225.7216000000153</v>
      </c>
      <c r="I71" s="37">
        <f t="shared" si="3"/>
        <v>-8225.7215999999862</v>
      </c>
      <c r="J71" s="4">
        <f t="shared" si="4"/>
        <v>-0.49999999999999911</v>
      </c>
      <c r="K71" s="37">
        <f>Q71*(C71/1000)</f>
        <v>11914</v>
      </c>
      <c r="L71" s="37">
        <f>Q71*(D71/1000)</f>
        <v>5957.0000000000109</v>
      </c>
      <c r="M71" s="37">
        <f t="shared" si="5"/>
        <v>-5956.9999999999891</v>
      </c>
      <c r="N71" s="4">
        <f t="shared" si="8"/>
        <v>-0.49999999999999906</v>
      </c>
      <c r="P71" s="90">
        <f>INDEX($D$7:$D$47,MATCH(AT$62,$A$7:$A$47,0))</f>
        <v>3.2000000000000002E-3</v>
      </c>
      <c r="Q71" s="35">
        <f>$D$30</f>
        <v>3.22</v>
      </c>
      <c r="U71" s="98"/>
      <c r="AD71" s="16"/>
      <c r="AE71" s="16"/>
      <c r="AF71" s="4"/>
      <c r="AG71" s="4"/>
      <c r="AI71" s="33" t="s">
        <v>89</v>
      </c>
      <c r="AJ71" s="37">
        <f>C71*0.5</f>
        <v>1850000</v>
      </c>
      <c r="AL71" s="35"/>
    </row>
    <row r="72" spans="1:47" x14ac:dyDescent="0.2">
      <c r="A72" s="5" t="s">
        <v>5</v>
      </c>
      <c r="B72" s="5" t="s">
        <v>52</v>
      </c>
      <c r="C72" s="13">
        <f>$D$33</f>
        <v>3000000</v>
      </c>
      <c r="D72" s="43">
        <v>1500000.0000000005</v>
      </c>
      <c r="E72" s="37">
        <f t="shared" si="1"/>
        <v>-1499999.9999999995</v>
      </c>
      <c r="F72" s="4">
        <f t="shared" si="7"/>
        <v>-0.49999999999999983</v>
      </c>
      <c r="G72" s="37">
        <f>C72*P72+C72*P72*AC69*AD69</f>
        <v>2084.2199999999998</v>
      </c>
      <c r="H72" s="37">
        <f>D72*P72+D72*P72*AC69*AD69</f>
        <v>1042.1100000000004</v>
      </c>
      <c r="I72" s="37">
        <f t="shared" si="3"/>
        <v>-1042.1099999999994</v>
      </c>
      <c r="J72" s="4">
        <f t="shared" si="4"/>
        <v>-0.49999999999999978</v>
      </c>
      <c r="K72" s="37">
        <f>Q72*(C72/1000)</f>
        <v>1200</v>
      </c>
      <c r="L72" s="37">
        <f>Q72*(D72/1000)</f>
        <v>600.00000000000023</v>
      </c>
      <c r="M72" s="37">
        <f t="shared" si="5"/>
        <v>-599.99999999999977</v>
      </c>
      <c r="N72" s="4">
        <f t="shared" si="8"/>
        <v>-0.49999999999999983</v>
      </c>
      <c r="P72" s="90">
        <f>INDEX($D$7:$D$47,MATCH(AT$64,$A$7:$A$47,0))</f>
        <v>5.0000000000000001E-4</v>
      </c>
      <c r="Q72" s="35">
        <f>$D$34</f>
        <v>0.4</v>
      </c>
      <c r="U72" s="98"/>
      <c r="AD72" s="16"/>
      <c r="AE72" s="16"/>
      <c r="AF72" s="4"/>
      <c r="AG72" s="4"/>
      <c r="AI72" s="33" t="s">
        <v>89</v>
      </c>
      <c r="AJ72" s="37">
        <f>C72*0.5</f>
        <v>1500000</v>
      </c>
      <c r="AL72" s="35"/>
    </row>
    <row r="73" spans="1:47" x14ac:dyDescent="0.2">
      <c r="A73" s="18" t="str">
        <f>A74</f>
        <v>Pakistan</v>
      </c>
      <c r="B73" s="22"/>
      <c r="C73" s="46">
        <f>SUM(C74:C76)</f>
        <v>4700000</v>
      </c>
      <c r="D73" s="54">
        <f>SUM(D74:D76)</f>
        <v>7050000</v>
      </c>
      <c r="E73" s="54">
        <f t="shared" si="1"/>
        <v>2350000</v>
      </c>
      <c r="F73" s="23">
        <f t="shared" si="7"/>
        <v>0.5</v>
      </c>
      <c r="G73" s="54">
        <f>SUM(G74:G76)</f>
        <v>10768.748</v>
      </c>
      <c r="H73" s="54">
        <f>SUM(H74:H76)</f>
        <v>52514.281999999992</v>
      </c>
      <c r="I73" s="54">
        <f t="shared" si="3"/>
        <v>41745.533999999992</v>
      </c>
      <c r="J73" s="23">
        <f t="shared" si="4"/>
        <v>3.8765447942509188</v>
      </c>
      <c r="K73" s="54">
        <f>SUM(K74:K76)</f>
        <v>4857</v>
      </c>
      <c r="L73" s="54">
        <f>SUM(L74:L76)</f>
        <v>23155.5</v>
      </c>
      <c r="M73" s="54">
        <f t="shared" si="5"/>
        <v>18298.5</v>
      </c>
      <c r="N73" s="23">
        <f t="shared" si="8"/>
        <v>3.7674490426189005</v>
      </c>
      <c r="P73" s="91"/>
      <c r="S73" s="19">
        <f>INDEX($E$7:$E$47,MATCH(S$60,$A$7:$A$47,0))</f>
        <v>8</v>
      </c>
      <c r="T73" s="19">
        <f>INDEX($E$7:$E$47,MATCH(T$60,$A$7:$A$47,0))</f>
        <v>316425</v>
      </c>
      <c r="U73" s="119">
        <f>D73/T73</f>
        <v>22.280161175634035</v>
      </c>
      <c r="V73" s="19">
        <f>INDEX($E$7:$E$47,MATCH(V$60,$A$7:$A$47,0))</f>
        <v>18994</v>
      </c>
      <c r="W73" s="20">
        <f>INDEX($E$7:$E$47,MATCH(W$60,$A$7:$A$47,0))</f>
        <v>6.0026862605672748E-2</v>
      </c>
      <c r="X73" s="94"/>
      <c r="Y73" s="19">
        <f>INDEX($E$7:$E$47,MATCH(Y$60,$A$7:$A$47,0))</f>
        <v>193.2</v>
      </c>
      <c r="Z73" s="19">
        <f>INDEX($E$7:$E$47,MATCH(Z$60,$A$7:$A$47,0))</f>
        <v>20.399999999999999</v>
      </c>
      <c r="AA73" s="19">
        <f>INDEX($E$7:$E$47,MATCH(AA$60,$A$7:$A$47,0))</f>
        <v>111</v>
      </c>
      <c r="AC73" s="21">
        <f>INDEX($E$7:$E$47,MATCH(AC$60,$A$7:$A$47,0))</f>
        <v>26.5</v>
      </c>
      <c r="AD73" s="25">
        <f>INDEX($E$7:$E$47,MATCH(AD$60,$A$7:$A$47,0))</f>
        <v>2.64E-2</v>
      </c>
      <c r="AF73" s="20">
        <f>C73/(S73*1000000)</f>
        <v>0.58750000000000002</v>
      </c>
      <c r="AG73" s="20">
        <f>D73/(S73*1000000)</f>
        <v>0.88124999999999998</v>
      </c>
      <c r="AI73" s="32" t="s">
        <v>90</v>
      </c>
      <c r="AJ73" s="37">
        <f>C73*1.5</f>
        <v>7050000</v>
      </c>
      <c r="AU73" s="94"/>
    </row>
    <row r="74" spans="1:47" ht="12" customHeight="1" x14ac:dyDescent="0.2">
      <c r="A74" s="5" t="s">
        <v>6</v>
      </c>
      <c r="B74" s="5" t="s">
        <v>44</v>
      </c>
      <c r="C74" s="13">
        <f>$E$25</f>
        <v>1000000</v>
      </c>
      <c r="D74" s="43">
        <v>500000</v>
      </c>
      <c r="E74" s="37">
        <f t="shared" si="1"/>
        <v>-500000</v>
      </c>
      <c r="F74" s="4">
        <f t="shared" si="7"/>
        <v>-0.5</v>
      </c>
      <c r="G74" s="37">
        <f>C74*P74</f>
        <v>1200</v>
      </c>
      <c r="H74" s="37">
        <f>D74*P74</f>
        <v>600</v>
      </c>
      <c r="I74" s="37">
        <f t="shared" si="3"/>
        <v>-600</v>
      </c>
      <c r="J74" s="4">
        <f t="shared" si="4"/>
        <v>-0.5</v>
      </c>
      <c r="K74" s="37">
        <f>Q74*(C74/1000)</f>
        <v>570</v>
      </c>
      <c r="L74" s="37">
        <f>Q74*(D74/1000)</f>
        <v>285</v>
      </c>
      <c r="M74" s="37">
        <f t="shared" si="5"/>
        <v>-285</v>
      </c>
      <c r="N74" s="4">
        <f t="shared" si="8"/>
        <v>-0.5</v>
      </c>
      <c r="P74" s="90">
        <f>INDEX($E$7:$E$47,MATCH(AT$60,$A$7:$A$47,0))</f>
        <v>1.1999999999999999E-3</v>
      </c>
      <c r="Q74" s="35">
        <f>$E$26</f>
        <v>0.56999999999999995</v>
      </c>
      <c r="U74" s="120"/>
      <c r="AD74" s="16"/>
      <c r="AE74" s="16"/>
      <c r="AF74" s="4"/>
      <c r="AG74" s="4"/>
      <c r="AI74" s="33" t="s">
        <v>89</v>
      </c>
      <c r="AJ74" s="37">
        <f>C74*0.5</f>
        <v>500000</v>
      </c>
      <c r="AL74" s="35"/>
    </row>
    <row r="75" spans="1:47" x14ac:dyDescent="0.2">
      <c r="A75" s="5" t="s">
        <v>6</v>
      </c>
      <c r="B75" s="5" t="s">
        <v>48</v>
      </c>
      <c r="C75" s="13">
        <f>$E$29</f>
        <v>700000</v>
      </c>
      <c r="D75" s="43">
        <v>5050000</v>
      </c>
      <c r="E75" s="37">
        <f t="shared" si="1"/>
        <v>4350000</v>
      </c>
      <c r="F75" s="4">
        <f t="shared" si="7"/>
        <v>6.2142857142857144</v>
      </c>
      <c r="G75" s="37">
        <f>C75*P75+C75*P75*AC73*AD73</f>
        <v>7019.348</v>
      </c>
      <c r="H75" s="37">
        <f>D75*P75+D75*P75*AC73*AD73</f>
        <v>50639.581999999995</v>
      </c>
      <c r="I75" s="37">
        <f t="shared" si="3"/>
        <v>43620.233999999997</v>
      </c>
      <c r="J75" s="4">
        <f t="shared" si="4"/>
        <v>6.2142857142857135</v>
      </c>
      <c r="K75" s="37">
        <f>Q75*(C75/1000)</f>
        <v>3087</v>
      </c>
      <c r="L75" s="37">
        <f>Q75*(D75/1000)</f>
        <v>22270.5</v>
      </c>
      <c r="M75" s="37">
        <f t="shared" si="5"/>
        <v>19183.5</v>
      </c>
      <c r="N75" s="4">
        <f t="shared" si="8"/>
        <v>6.2142857142857144</v>
      </c>
      <c r="P75" s="90">
        <f>INDEX($E$7:$E$47,MATCH(AT$62,$A$7:$A$47,0))</f>
        <v>5.8999999999999999E-3</v>
      </c>
      <c r="Q75" s="35">
        <f>$E$30</f>
        <v>4.41</v>
      </c>
      <c r="U75" s="98"/>
      <c r="W75" s="9"/>
      <c r="X75" s="95"/>
      <c r="AD75" s="16"/>
      <c r="AE75" s="16"/>
      <c r="AF75" s="4"/>
      <c r="AG75" s="4"/>
      <c r="AI75" s="33" t="s">
        <v>89</v>
      </c>
      <c r="AJ75" s="37">
        <f>C75*0.5</f>
        <v>350000</v>
      </c>
      <c r="AL75" s="35"/>
      <c r="AU75" s="95"/>
    </row>
    <row r="76" spans="1:47" x14ac:dyDescent="0.2">
      <c r="A76" s="5" t="s">
        <v>6</v>
      </c>
      <c r="B76" s="5" t="s">
        <v>52</v>
      </c>
      <c r="C76" s="13">
        <f>$E$33</f>
        <v>3000000</v>
      </c>
      <c r="D76" s="43">
        <v>1500000</v>
      </c>
      <c r="E76" s="37">
        <f t="shared" si="1"/>
        <v>-1500000</v>
      </c>
      <c r="F76" s="4">
        <f t="shared" si="7"/>
        <v>-0.5</v>
      </c>
      <c r="G76" s="37">
        <f>C76*P76+C76*P76*AC73*AD73</f>
        <v>2549.4</v>
      </c>
      <c r="H76" s="37">
        <f>D76*P76+D76*P76*AC73*AD73</f>
        <v>1274.7</v>
      </c>
      <c r="I76" s="37">
        <f t="shared" si="3"/>
        <v>-1274.7</v>
      </c>
      <c r="J76" s="4">
        <f t="shared" si="4"/>
        <v>-0.5</v>
      </c>
      <c r="K76" s="37">
        <f>Q76*(C76/1000)</f>
        <v>1200</v>
      </c>
      <c r="L76" s="37">
        <f>Q76*(D76/1000)</f>
        <v>600</v>
      </c>
      <c r="M76" s="37">
        <f t="shared" si="5"/>
        <v>-600</v>
      </c>
      <c r="N76" s="4">
        <f t="shared" si="8"/>
        <v>-0.5</v>
      </c>
      <c r="P76" s="90">
        <f>INDEX($E$7:$E$47,MATCH(AT$64,$A$7:$A$47,0))</f>
        <v>5.0000000000000001E-4</v>
      </c>
      <c r="Q76" s="35">
        <f>$E$34</f>
        <v>0.4</v>
      </c>
      <c r="U76" s="98"/>
      <c r="W76" s="9"/>
      <c r="X76" s="95"/>
      <c r="AD76" s="16"/>
      <c r="AE76" s="16"/>
      <c r="AF76" s="4"/>
      <c r="AG76" s="4"/>
      <c r="AI76" s="33" t="s">
        <v>89</v>
      </c>
      <c r="AJ76" s="37">
        <f>C76*0.5</f>
        <v>1500000</v>
      </c>
      <c r="AL76" s="35"/>
      <c r="AU76" s="95"/>
    </row>
    <row r="77" spans="1:47" x14ac:dyDescent="0.2">
      <c r="A77" s="18" t="str">
        <f>A78</f>
        <v>Philippines</v>
      </c>
      <c r="B77" s="22"/>
      <c r="C77" s="46">
        <f>SUM(C78:C80)</f>
        <v>12700000</v>
      </c>
      <c r="D77" s="54">
        <f>SUM(D78:D80)</f>
        <v>9656795.6630525254</v>
      </c>
      <c r="E77" s="54">
        <f t="shared" si="1"/>
        <v>-3043204.3369474746</v>
      </c>
      <c r="F77" s="23">
        <f t="shared" si="7"/>
        <v>-0.23962238873602162</v>
      </c>
      <c r="G77" s="54">
        <f>SUM(G78:G80)</f>
        <v>37154.834400000007</v>
      </c>
      <c r="H77" s="54">
        <f>SUM(H78:H80)</f>
        <v>43758.375176126618</v>
      </c>
      <c r="I77" s="54">
        <f t="shared" si="3"/>
        <v>6603.5407761266106</v>
      </c>
      <c r="J77" s="23">
        <f t="shared" si="4"/>
        <v>0.17773032453958695</v>
      </c>
      <c r="K77" s="54">
        <f>SUM(K78:K80)</f>
        <v>18805</v>
      </c>
      <c r="L77" s="54">
        <f>SUM(L78:L80)</f>
        <v>22133.663302752218</v>
      </c>
      <c r="M77" s="54">
        <f t="shared" si="5"/>
        <v>3328.6633027522184</v>
      </c>
      <c r="N77" s="23">
        <f t="shared" si="8"/>
        <v>0.17700948166722777</v>
      </c>
      <c r="P77" s="91"/>
      <c r="S77" s="19">
        <f>INDEX($F$7:$F$47,MATCH(S$60,$A$7:$A$47,0))</f>
        <v>29.9</v>
      </c>
      <c r="T77" s="19">
        <f>INDEX($F$7:$F$47,MATCH(T$60,$A$7:$A$47,0))</f>
        <v>203907</v>
      </c>
      <c r="U77" s="119">
        <f>D77/T77</f>
        <v>47.358823694392669</v>
      </c>
      <c r="V77" s="19">
        <f>INDEX($F$7:$F$47,MATCH(V$60,$A$7:$A$47,0))</f>
        <v>2204</v>
      </c>
      <c r="W77" s="20">
        <f>INDEX($F$7:$F$47,MATCH(W$60,$A$7:$A$47,0))</f>
        <v>1.0808849132202425E-2</v>
      </c>
      <c r="X77" s="94"/>
      <c r="Y77" s="19">
        <f>INDEX($F$7:$F$47,MATCH(Y$60,$A$7:$A$47,0))</f>
        <v>105.7</v>
      </c>
      <c r="Z77" s="19">
        <f>INDEX($F$7:$F$47,MATCH(Z$60,$A$7:$A$47,0))</f>
        <v>8.3000000000000007</v>
      </c>
      <c r="AA77" s="19">
        <f>INDEX($F$7:$F$47,MATCH(AA$60,$A$7:$A$47,0))</f>
        <v>94.2</v>
      </c>
      <c r="AC77" s="21">
        <f>INDEX($F$7:$F$47,MATCH(AC$60,$A$7:$A$47,0))</f>
        <v>32.4</v>
      </c>
      <c r="AD77" s="25">
        <f>INDEX($F$7:$F$47,MATCH(AD$60,$A$7:$A$47,0))</f>
        <v>1.8100000000000002E-2</v>
      </c>
      <c r="AF77" s="20">
        <f>C77/(S77*1000000)</f>
        <v>0.42474916387959866</v>
      </c>
      <c r="AG77" s="20">
        <f>D77/(S77*1000000)</f>
        <v>0.32296975461714134</v>
      </c>
      <c r="AI77" s="32" t="s">
        <v>90</v>
      </c>
      <c r="AJ77" s="37">
        <f>C77*1.5</f>
        <v>19050000</v>
      </c>
      <c r="AU77" s="94"/>
    </row>
    <row r="78" spans="1:47" x14ac:dyDescent="0.2">
      <c r="A78" s="5" t="s">
        <v>7</v>
      </c>
      <c r="B78" s="5" t="s">
        <v>44</v>
      </c>
      <c r="C78" s="13">
        <f>$F$25</f>
        <v>6000000</v>
      </c>
      <c r="D78" s="43">
        <v>3000000</v>
      </c>
      <c r="E78" s="37">
        <f t="shared" si="1"/>
        <v>-3000000</v>
      </c>
      <c r="F78" s="4">
        <f t="shared" si="7"/>
        <v>-0.5</v>
      </c>
      <c r="G78" s="37">
        <f>C78*P78</f>
        <v>6600</v>
      </c>
      <c r="H78" s="37">
        <f>D78*P78</f>
        <v>3300</v>
      </c>
      <c r="I78" s="37">
        <f t="shared" si="3"/>
        <v>-3300</v>
      </c>
      <c r="J78" s="4">
        <f t="shared" si="4"/>
        <v>-0.5</v>
      </c>
      <c r="K78" s="37">
        <f>Q78*(C78/1000)</f>
        <v>3360.0000000000005</v>
      </c>
      <c r="L78" s="37">
        <f>Q78*(D78/1000)</f>
        <v>1680.0000000000002</v>
      </c>
      <c r="M78" s="37">
        <f t="shared" si="5"/>
        <v>-1680.0000000000002</v>
      </c>
      <c r="N78" s="4">
        <f t="shared" si="8"/>
        <v>-0.5</v>
      </c>
      <c r="P78" s="90">
        <f>INDEX($F$7:$F$47,MATCH(AT$60,$A$7:$A$47,0))</f>
        <v>1.1000000000000001E-3</v>
      </c>
      <c r="Q78" s="35">
        <f>$F$26</f>
        <v>0.56000000000000005</v>
      </c>
      <c r="U78" s="120"/>
      <c r="AD78" s="16"/>
      <c r="AE78" s="16"/>
      <c r="AF78" s="4"/>
      <c r="AG78" s="4"/>
      <c r="AI78" s="33" t="s">
        <v>89</v>
      </c>
      <c r="AJ78" s="37">
        <f>C78*0.5</f>
        <v>3000000</v>
      </c>
      <c r="AL78" s="35"/>
    </row>
    <row r="79" spans="1:47" x14ac:dyDescent="0.2">
      <c r="A79" s="5" t="s">
        <v>7</v>
      </c>
      <c r="B79" s="5" t="s">
        <v>48</v>
      </c>
      <c r="C79" s="13">
        <f>$F$29</f>
        <v>3700000</v>
      </c>
      <c r="D79" s="43">
        <v>5156795.6630525244</v>
      </c>
      <c r="E79" s="37">
        <f t="shared" si="1"/>
        <v>1456795.6630525244</v>
      </c>
      <c r="F79" s="4">
        <f t="shared" si="7"/>
        <v>0.39372855758176334</v>
      </c>
      <c r="G79" s="37">
        <f>C79*P79+C79*P79*AC77*AD77</f>
        <v>28175.174400000004</v>
      </c>
      <c r="H79" s="37">
        <f>D79*P79+D79*P79*AC77*AD77</f>
        <v>39268.545176126616</v>
      </c>
      <c r="I79" s="37">
        <f t="shared" si="3"/>
        <v>11093.370776126612</v>
      </c>
      <c r="J79" s="4">
        <f t="shared" si="4"/>
        <v>0.39372855758176284</v>
      </c>
      <c r="K79" s="37">
        <f>Q79*(C79/1000)</f>
        <v>14245</v>
      </c>
      <c r="L79" s="37">
        <f>Q79*(D79/1000)</f>
        <v>19853.663302752218</v>
      </c>
      <c r="M79" s="37">
        <f t="shared" si="5"/>
        <v>5608.6633027522184</v>
      </c>
      <c r="N79" s="4">
        <f t="shared" si="8"/>
        <v>0.39372855758176334</v>
      </c>
      <c r="P79" s="90">
        <f>INDEX($F$7:$F$47,MATCH(AT$62,$A$7:$A$47,0))</f>
        <v>4.7999999999999996E-3</v>
      </c>
      <c r="Q79" s="35">
        <f>$F$30</f>
        <v>3.85</v>
      </c>
      <c r="U79" s="98"/>
      <c r="AD79" s="16"/>
      <c r="AE79" s="16"/>
      <c r="AF79" s="4"/>
      <c r="AG79" s="4"/>
      <c r="AI79" s="33" t="s">
        <v>89</v>
      </c>
      <c r="AJ79" s="37">
        <f>C79*0.5</f>
        <v>1850000</v>
      </c>
      <c r="AL79" s="35"/>
    </row>
    <row r="80" spans="1:47" x14ac:dyDescent="0.2">
      <c r="A80" s="5" t="s">
        <v>7</v>
      </c>
      <c r="B80" s="5" t="s">
        <v>52</v>
      </c>
      <c r="C80" s="13">
        <f>$F$33</f>
        <v>3000000</v>
      </c>
      <c r="D80" s="43">
        <v>1500000</v>
      </c>
      <c r="E80" s="37">
        <f t="shared" si="1"/>
        <v>-1500000</v>
      </c>
      <c r="F80" s="4">
        <f t="shared" si="7"/>
        <v>-0.5</v>
      </c>
      <c r="G80" s="37">
        <f>C80*P80+C80*P80*AC77*AD77</f>
        <v>2379.66</v>
      </c>
      <c r="H80" s="37">
        <f>D80*P80+D80*P80*AC77*AD77</f>
        <v>1189.83</v>
      </c>
      <c r="I80" s="37">
        <f t="shared" si="3"/>
        <v>-1189.83</v>
      </c>
      <c r="J80" s="4">
        <f t="shared" si="4"/>
        <v>-0.5</v>
      </c>
      <c r="K80" s="37">
        <f>Q80*(C80/1000)</f>
        <v>1200</v>
      </c>
      <c r="L80" s="37">
        <f>Q80*(D80/1000)</f>
        <v>600</v>
      </c>
      <c r="M80" s="37">
        <f t="shared" si="5"/>
        <v>-600</v>
      </c>
      <c r="N80" s="4">
        <f t="shared" si="8"/>
        <v>-0.5</v>
      </c>
      <c r="P80" s="90">
        <f>INDEX($F$7:$F$47,MATCH(AT$64,$A$7:$A$47,0))</f>
        <v>5.0000000000000001E-4</v>
      </c>
      <c r="Q80" s="35">
        <f>$F$34</f>
        <v>0.4</v>
      </c>
      <c r="U80" s="98"/>
      <c r="AD80" s="16"/>
      <c r="AE80" s="16"/>
      <c r="AF80" s="4"/>
      <c r="AG80" s="4"/>
      <c r="AI80" s="33" t="s">
        <v>89</v>
      </c>
      <c r="AJ80" s="37">
        <f>C80*0.5</f>
        <v>1500000</v>
      </c>
      <c r="AL80" s="35"/>
    </row>
    <row r="81" spans="1:47" x14ac:dyDescent="0.2">
      <c r="A81" s="18" t="str">
        <f>A82</f>
        <v>Singapore</v>
      </c>
      <c r="B81" s="22"/>
      <c r="C81" s="46">
        <f>SUM(C82:C84)</f>
        <v>6350000</v>
      </c>
      <c r="D81" s="54">
        <f>SUM(D82:D84)</f>
        <v>2730500.0000000051</v>
      </c>
      <c r="E81" s="54">
        <f t="shared" si="1"/>
        <v>-3619499.9999999949</v>
      </c>
      <c r="F81" s="23">
        <f t="shared" si="7"/>
        <v>-0.56999999999999917</v>
      </c>
      <c r="G81" s="54">
        <f>SUM(G82:G84)</f>
        <v>10785.808199999999</v>
      </c>
      <c r="H81" s="54">
        <f>SUM(H82:H84)</f>
        <v>4637.8975260000188</v>
      </c>
      <c r="I81" s="54">
        <f t="shared" si="3"/>
        <v>-6147.9106739999806</v>
      </c>
      <c r="J81" s="23">
        <f t="shared" si="4"/>
        <v>-0.56999999999999829</v>
      </c>
      <c r="K81" s="54">
        <f>SUM(K82:K84)</f>
        <v>10180</v>
      </c>
      <c r="L81" s="54">
        <f>SUM(L82:L84)</f>
        <v>4377.4000000000215</v>
      </c>
      <c r="M81" s="54">
        <f t="shared" si="5"/>
        <v>-5802.5999999999785</v>
      </c>
      <c r="N81" s="23">
        <f t="shared" si="8"/>
        <v>-0.56999999999999784</v>
      </c>
      <c r="P81" s="91"/>
      <c r="S81" s="19">
        <f>INDEX($G$7:$G$47,MATCH(S$60,$A$7:$A$47,0))</f>
        <v>2.9</v>
      </c>
      <c r="T81" s="19">
        <f>INDEX($G$7:$G$47,MATCH(T$60,$A$7:$A$47,0))</f>
        <v>15595</v>
      </c>
      <c r="U81" s="119">
        <f>D81/T81</f>
        <v>175.08816928502759</v>
      </c>
      <c r="V81" s="19">
        <f>INDEX($G$7:$G$47,MATCH(V$60,$A$7:$A$47,0))</f>
        <v>1496</v>
      </c>
      <c r="W81" s="20">
        <f>INDEX($G$7:$G$47,MATCH(W$60,$A$7:$A$47,0))</f>
        <v>9.5928182109650525E-2</v>
      </c>
      <c r="X81" s="94"/>
      <c r="Y81" s="19">
        <f>INDEX($G$7:$G$47,MATCH(Y$60,$A$7:$A$47,0))</f>
        <v>5.5</v>
      </c>
      <c r="Z81" s="19">
        <f>INDEX($G$7:$G$47,MATCH(Z$60,$A$7:$A$47,0))</f>
        <v>3.2</v>
      </c>
      <c r="AA81" s="19">
        <f>INDEX($G$7:$G$47,MATCH(AA$60,$A$7:$A$47,0))</f>
        <v>7.8</v>
      </c>
      <c r="AC81" s="21">
        <f>INDEX($G$7:$G$47,MATCH(AC$60,$A$7:$A$47,0))</f>
        <v>20.6</v>
      </c>
      <c r="AD81" s="25">
        <f>INDEX($G$7:$G$47,MATCH(AD$60,$A$7:$A$47,0))</f>
        <v>1.83E-2</v>
      </c>
      <c r="AF81" s="20">
        <f>C81/(S81*1000000)</f>
        <v>2.1896551724137931</v>
      </c>
      <c r="AG81" s="20">
        <f>D81/(S81*1000000)</f>
        <v>0.94155172413793276</v>
      </c>
      <c r="AI81" s="32" t="s">
        <v>90</v>
      </c>
      <c r="AJ81" s="37">
        <f>C81*1.5</f>
        <v>9525000</v>
      </c>
      <c r="AU81" s="94"/>
    </row>
    <row r="82" spans="1:47" x14ac:dyDescent="0.2">
      <c r="A82" s="5" t="s">
        <v>8</v>
      </c>
      <c r="B82" s="5" t="s">
        <v>44</v>
      </c>
      <c r="C82" s="13">
        <f>$G$25</f>
        <v>2000000</v>
      </c>
      <c r="D82" s="43">
        <v>860000.00000000093</v>
      </c>
      <c r="E82" s="37">
        <f t="shared" si="1"/>
        <v>-1139999.9999999991</v>
      </c>
      <c r="F82" s="4">
        <f t="shared" si="7"/>
        <v>-0.56999999999999951</v>
      </c>
      <c r="G82" s="37">
        <f>C82*P82</f>
        <v>2400</v>
      </c>
      <c r="H82" s="37">
        <f>D82*P82</f>
        <v>1032.0000000000011</v>
      </c>
      <c r="I82" s="37">
        <f t="shared" si="3"/>
        <v>-1367.9999999999989</v>
      </c>
      <c r="J82" s="4">
        <f t="shared" si="4"/>
        <v>-0.56999999999999951</v>
      </c>
      <c r="K82" s="37">
        <f>Q82*(C82/1000)</f>
        <v>1420</v>
      </c>
      <c r="L82" s="37">
        <f>Q82*(D82/1000)</f>
        <v>610.60000000000059</v>
      </c>
      <c r="M82" s="37">
        <f t="shared" si="5"/>
        <v>-809.39999999999941</v>
      </c>
      <c r="N82" s="4">
        <f t="shared" si="8"/>
        <v>-0.56999999999999962</v>
      </c>
      <c r="P82" s="90">
        <f>INDEX($G$7:$G$47,MATCH(AT$60,$A$7:$A$47,0))</f>
        <v>1.1999999999999999E-3</v>
      </c>
      <c r="Q82" s="35">
        <f>$G$26</f>
        <v>0.71</v>
      </c>
      <c r="U82" s="120"/>
      <c r="AI82" s="33" t="s">
        <v>89</v>
      </c>
      <c r="AJ82" s="37">
        <f>C82*0.43</f>
        <v>860000</v>
      </c>
      <c r="AL82" s="35"/>
    </row>
    <row r="83" spans="1:47" x14ac:dyDescent="0.2">
      <c r="A83" s="5" t="s">
        <v>8</v>
      </c>
      <c r="B83" s="5" t="s">
        <v>48</v>
      </c>
      <c r="C83" s="13">
        <f>$G$29</f>
        <v>1350000</v>
      </c>
      <c r="D83" s="43">
        <v>580500.00000000373</v>
      </c>
      <c r="E83" s="37">
        <f t="shared" si="1"/>
        <v>-769499.99999999627</v>
      </c>
      <c r="F83" s="4">
        <f t="shared" si="7"/>
        <v>-0.56999999999999729</v>
      </c>
      <c r="G83" s="37">
        <f>C83*P83+C83*P83*AC81*AD81</f>
        <v>6320.3382000000001</v>
      </c>
      <c r="H83" s="37">
        <f>D83*P83+D83*P83*AC81*AD81</f>
        <v>2717.7454260000172</v>
      </c>
      <c r="I83" s="37">
        <f t="shared" si="3"/>
        <v>-3602.5927739999829</v>
      </c>
      <c r="J83" s="4">
        <f t="shared" si="4"/>
        <v>-0.56999999999999729</v>
      </c>
      <c r="K83" s="37">
        <f>Q83*(C83/1000)</f>
        <v>7559.9999999999991</v>
      </c>
      <c r="L83" s="37">
        <f>Q83*(D83/1000)</f>
        <v>3250.8000000000206</v>
      </c>
      <c r="M83" s="37">
        <f t="shared" si="5"/>
        <v>-4309.1999999999789</v>
      </c>
      <c r="N83" s="4">
        <f t="shared" si="8"/>
        <v>-0.56999999999999729</v>
      </c>
      <c r="P83" s="90">
        <f>INDEX($G$7:$G$47,MATCH(AT$62,$A$7:$A$47,0))</f>
        <v>3.3999999999999998E-3</v>
      </c>
      <c r="Q83" s="35">
        <f>$G$30</f>
        <v>5.6</v>
      </c>
      <c r="Y83" s="4"/>
      <c r="AI83" s="33" t="s">
        <v>89</v>
      </c>
      <c r="AJ83" s="37">
        <f>C83*0.43</f>
        <v>580500</v>
      </c>
      <c r="AL83" s="35"/>
    </row>
    <row r="84" spans="1:47" x14ac:dyDescent="0.2">
      <c r="A84" s="5" t="s">
        <v>8</v>
      </c>
      <c r="B84" s="5" t="s">
        <v>52</v>
      </c>
      <c r="C84" s="13">
        <f>$G$33</f>
        <v>3000000</v>
      </c>
      <c r="D84" s="43">
        <v>1290000.0000000005</v>
      </c>
      <c r="E84" s="37">
        <f t="shared" si="1"/>
        <v>-1709999.9999999995</v>
      </c>
      <c r="F84" s="4">
        <f t="shared" si="7"/>
        <v>-0.56999999999999984</v>
      </c>
      <c r="G84" s="37">
        <f>C84*P84+C84*P84*AC81*AD81</f>
        <v>2065.4700000000003</v>
      </c>
      <c r="H84" s="37">
        <f>D84*P84+D84*P84*AC81*AD81</f>
        <v>888.15210000000036</v>
      </c>
      <c r="I84" s="37">
        <f t="shared" si="3"/>
        <v>-1177.3179</v>
      </c>
      <c r="J84" s="4">
        <f t="shared" si="4"/>
        <v>-0.56999999999999995</v>
      </c>
      <c r="K84" s="37">
        <f>Q84*(C84/1000)</f>
        <v>1200</v>
      </c>
      <c r="L84" s="37">
        <f>Q84*(D84/1000)</f>
        <v>516.00000000000023</v>
      </c>
      <c r="M84" s="37">
        <f t="shared" si="5"/>
        <v>-683.99999999999977</v>
      </c>
      <c r="N84" s="4">
        <f t="shared" si="8"/>
        <v>-0.56999999999999984</v>
      </c>
      <c r="P84" s="90">
        <f>INDEX($G$7:$G$47,MATCH(AT$64,$A$7:$A$47,0))</f>
        <v>5.0000000000000001E-4</v>
      </c>
      <c r="Q84" s="35">
        <f>$G$34</f>
        <v>0.4</v>
      </c>
      <c r="AI84" s="33" t="s">
        <v>89</v>
      </c>
      <c r="AJ84" s="37">
        <f>C84*0.43</f>
        <v>1290000</v>
      </c>
      <c r="AL84" s="104">
        <f>D84/D81</f>
        <v>0.47244094488188904</v>
      </c>
      <c r="AM84" s="33" t="s">
        <v>89</v>
      </c>
      <c r="AN84" s="4">
        <v>0.4</v>
      </c>
    </row>
    <row r="85" spans="1:47" x14ac:dyDescent="0.2">
      <c r="A85" s="146" t="s">
        <v>108</v>
      </c>
      <c r="B85" s="146"/>
      <c r="C85" s="46"/>
      <c r="D85" s="46"/>
      <c r="E85" s="46"/>
      <c r="F85" s="23"/>
      <c r="G85" s="46"/>
      <c r="H85" s="46"/>
      <c r="I85" s="46"/>
      <c r="J85" s="23"/>
      <c r="K85" s="54">
        <f>SUM(K81,K77,K73,K69,K65,K61)*0.09</f>
        <v>8556.84</v>
      </c>
      <c r="L85" s="54">
        <f>SUM(L81,L77,L73,L69,L65,L61)*0.09</f>
        <v>7844.036697247705</v>
      </c>
      <c r="M85" s="54">
        <f>SUM(M81,M77,M73,M69,M65,M61)*0.09</f>
        <v>-712.80330275229437</v>
      </c>
      <c r="N85" s="23">
        <f t="shared" si="8"/>
        <v>-8.330216560696406E-2</v>
      </c>
      <c r="Q85" s="35"/>
      <c r="AF85" s="20">
        <f>C86/(SUM(S61:S85)*1000000)</f>
        <v>0.50779220779220779</v>
      </c>
      <c r="AG85" s="20">
        <f>D86/(SUM(S61:S85)*1000000)</f>
        <v>0.44257398842469731</v>
      </c>
      <c r="AI85" s="33"/>
      <c r="AL85" s="35"/>
    </row>
    <row r="86" spans="1:47" x14ac:dyDescent="0.2">
      <c r="A86" s="146" t="s">
        <v>103</v>
      </c>
      <c r="B86" s="146"/>
      <c r="C86" s="46">
        <f>SUM(C81,C77,C73,C69,C65,C61)</f>
        <v>58650000</v>
      </c>
      <c r="D86" s="46">
        <f>SUM(D81,D77,D73,D69,D65,D61)</f>
        <v>51117295.663052537</v>
      </c>
      <c r="E86" s="46">
        <f>SUM(E81,E77,E73,E69,E65,E61)</f>
        <v>-7532704.3369474635</v>
      </c>
      <c r="F86" s="23">
        <f>E86/C86</f>
        <v>-0.12843485655494397</v>
      </c>
      <c r="G86" s="46">
        <f>SUM(G81,G77,G73,G69,G65,G61)</f>
        <v>131648.84370000003</v>
      </c>
      <c r="H86" s="46">
        <f>SUM(H81,H77,H73,H69,H65,H61)</f>
        <v>150656.67800212666</v>
      </c>
      <c r="I86" s="46">
        <f>SUM(I81,I77,I73,I69,I65,I61)</f>
        <v>19007.83430212667</v>
      </c>
      <c r="J86" s="23">
        <f t="shared" si="4"/>
        <v>0.14438284278015778</v>
      </c>
      <c r="K86" s="54">
        <f>SUM(K81,K77,K73,K69,K65,K61)*1.09</f>
        <v>103632.84000000001</v>
      </c>
      <c r="L86" s="54">
        <f>SUM(L82:L84,L78:L80,L74:L75,L76,L70:L72,L66:L68,L62:L64)*1.09</f>
        <v>94999.999999999985</v>
      </c>
      <c r="M86" s="46">
        <f>SUM(M81,M77,M73,M69,M65,M61)</f>
        <v>-7920.036697247715</v>
      </c>
      <c r="N86" s="23">
        <f t="shared" si="8"/>
        <v>-7.6424005144003715E-2</v>
      </c>
      <c r="Q86" s="50"/>
      <c r="AI86" s="50"/>
      <c r="AJ86" s="50"/>
      <c r="AL86" s="50"/>
    </row>
    <row r="87" spans="1:47" x14ac:dyDescent="0.2">
      <c r="A87" s="45"/>
      <c r="B87" s="45"/>
      <c r="C87" s="13"/>
      <c r="D87" s="13"/>
      <c r="F87" s="13"/>
      <c r="G87" s="4"/>
      <c r="H87" s="13"/>
      <c r="I87" s="13"/>
      <c r="J87" s="13"/>
      <c r="K87" s="4"/>
    </row>
    <row r="88" spans="1:47" x14ac:dyDescent="0.2">
      <c r="A88" s="5"/>
      <c r="B88" s="5"/>
      <c r="AD88" s="4"/>
      <c r="AF88" s="9"/>
    </row>
    <row r="89" spans="1:47" x14ac:dyDescent="0.2">
      <c r="A89" s="5"/>
      <c r="B89" s="5"/>
      <c r="D89" s="4"/>
      <c r="AD89" s="4"/>
      <c r="AF89" s="9"/>
    </row>
    <row r="90" spans="1:47" x14ac:dyDescent="0.2">
      <c r="AD90" s="4"/>
      <c r="AF90" s="9"/>
    </row>
    <row r="91" spans="1:47" x14ac:dyDescent="0.2">
      <c r="AD91" s="4"/>
      <c r="AF91" s="9"/>
    </row>
    <row r="92" spans="1:47" x14ac:dyDescent="0.2">
      <c r="AD92" s="4"/>
      <c r="AF92" s="9"/>
    </row>
    <row r="93" spans="1:47" x14ac:dyDescent="0.2">
      <c r="AD93" s="4"/>
      <c r="AF93" s="9"/>
    </row>
    <row r="94" spans="1:47" x14ac:dyDescent="0.2">
      <c r="AD94" s="4"/>
      <c r="AF94" s="9"/>
    </row>
    <row r="95" spans="1:47" x14ac:dyDescent="0.2">
      <c r="AD95" s="4"/>
      <c r="AF95" s="9"/>
    </row>
    <row r="96" spans="1:47" x14ac:dyDescent="0.2">
      <c r="AD96" s="4"/>
      <c r="AF96" s="9"/>
    </row>
    <row r="97" spans="30:33" x14ac:dyDescent="0.2">
      <c r="AD97" s="4"/>
      <c r="AF97" s="9"/>
    </row>
    <row r="98" spans="30:33" x14ac:dyDescent="0.2">
      <c r="AD98" s="4"/>
      <c r="AF98" s="9"/>
    </row>
    <row r="99" spans="30:33" x14ac:dyDescent="0.2">
      <c r="AD99" s="4"/>
      <c r="AF99" s="9"/>
    </row>
    <row r="101" spans="30:33" hidden="1" x14ac:dyDescent="0.2">
      <c r="AD101" s="118">
        <f>D61/(S61*1000000)</f>
        <v>0.3</v>
      </c>
      <c r="AF101" s="9">
        <v>1</v>
      </c>
      <c r="AG101" s="9">
        <v>0.3</v>
      </c>
    </row>
    <row r="102" spans="30:33" hidden="1" x14ac:dyDescent="0.2">
      <c r="AD102" s="118">
        <f>D65/(S65*1000000)</f>
        <v>1</v>
      </c>
      <c r="AF102" s="9">
        <v>1</v>
      </c>
      <c r="AG102" s="9">
        <v>0.3</v>
      </c>
    </row>
    <row r="103" spans="30:33" hidden="1" x14ac:dyDescent="0.2">
      <c r="AD103" s="118">
        <f>D69/(S69*1000000)</f>
        <v>0.46691176470588275</v>
      </c>
      <c r="AF103" s="9">
        <v>1</v>
      </c>
      <c r="AG103" s="9">
        <v>0.3</v>
      </c>
    </row>
    <row r="104" spans="30:33" hidden="1" x14ac:dyDescent="0.2">
      <c r="AD104" s="118">
        <f>D73/(S73*1000000)</f>
        <v>0.88124999999999998</v>
      </c>
      <c r="AF104" s="9">
        <v>1</v>
      </c>
      <c r="AG104" s="9">
        <v>0.3</v>
      </c>
    </row>
    <row r="105" spans="30:33" hidden="1" x14ac:dyDescent="0.2">
      <c r="AD105" s="118">
        <f>D77/(S77*1000000)</f>
        <v>0.32296975461714134</v>
      </c>
      <c r="AF105" s="9">
        <v>1</v>
      </c>
      <c r="AG105" s="9">
        <v>0.3</v>
      </c>
    </row>
    <row r="106" spans="30:33" hidden="1" x14ac:dyDescent="0.2">
      <c r="AD106" s="118">
        <f>D81/(S81*1000000)</f>
        <v>0.94155172413793276</v>
      </c>
      <c r="AF106" s="9">
        <v>1</v>
      </c>
      <c r="AG106" s="9">
        <v>0.3</v>
      </c>
    </row>
    <row r="107" spans="30:33" hidden="1" x14ac:dyDescent="0.2"/>
  </sheetData>
  <mergeCells count="14">
    <mergeCell ref="AV59:AW59"/>
    <mergeCell ref="AI59:AJ59"/>
    <mergeCell ref="AI50:AW50"/>
    <mergeCell ref="AL59:AN59"/>
    <mergeCell ref="AP59:AQ59"/>
    <mergeCell ref="A85:B85"/>
    <mergeCell ref="A86:B86"/>
    <mergeCell ref="AF59:AG59"/>
    <mergeCell ref="I33:K35"/>
    <mergeCell ref="I37:J37"/>
    <mergeCell ref="L44:L45"/>
    <mergeCell ref="C59:F59"/>
    <mergeCell ref="G59:J59"/>
    <mergeCell ref="K59:N59"/>
  </mergeCells>
  <conditionalFormatting sqref="G87 F86 K87 J86 E61:F84">
    <cfRule type="cellIs" dxfId="29" priority="6" operator="lessThan">
      <formula>0</formula>
    </cfRule>
  </conditionalFormatting>
  <conditionalFormatting sqref="I61:J84">
    <cfRule type="cellIs" dxfId="28" priority="5" operator="lessThan">
      <formula>0</formula>
    </cfRule>
  </conditionalFormatting>
  <conditionalFormatting sqref="N86">
    <cfRule type="cellIs" dxfId="27" priority="4" operator="lessThan">
      <formula>0</formula>
    </cfRule>
  </conditionalFormatting>
  <conditionalFormatting sqref="M61:N84">
    <cfRule type="cellIs" dxfId="26" priority="3" operator="lessThan">
      <formula>0</formula>
    </cfRule>
  </conditionalFormatting>
  <conditionalFormatting sqref="F85 J85">
    <cfRule type="cellIs" dxfId="25" priority="2" operator="lessThan">
      <formula>0</formula>
    </cfRule>
  </conditionalFormatting>
  <conditionalFormatting sqref="N85">
    <cfRule type="cellIs" dxfId="24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ED18-ACD0-4B14-8CE5-1919B54B3C76}">
  <dimension ref="A1:AV106"/>
  <sheetViews>
    <sheetView showGridLines="0" topLeftCell="A60" zoomScale="60" zoomScaleNormal="60" workbookViewId="0">
      <selection activeCell="Q111" sqref="Q111"/>
    </sheetView>
  </sheetViews>
  <sheetFormatPr defaultRowHeight="12.75" x14ac:dyDescent="0.2"/>
  <cols>
    <col min="1" max="1" width="16.140625" style="1" customWidth="1"/>
    <col min="2" max="2" width="15.85546875" style="1" customWidth="1"/>
    <col min="3" max="3" width="14.42578125" style="1" bestFit="1" customWidth="1"/>
    <col min="4" max="4" width="16.28515625" style="1" bestFit="1" customWidth="1"/>
    <col min="5" max="5" width="12.7109375" style="1" customWidth="1"/>
    <col min="6" max="6" width="7.42578125" style="1" customWidth="1"/>
    <col min="7" max="8" width="12.7109375" style="1" customWidth="1"/>
    <col min="9" max="9" width="11.28515625" style="1" customWidth="1"/>
    <col min="10" max="10" width="7.42578125" style="1" customWidth="1"/>
    <col min="11" max="12" width="12.7109375" style="1" customWidth="1"/>
    <col min="13" max="13" width="12.42578125" style="1" customWidth="1"/>
    <col min="14" max="14" width="7.42578125" style="1" customWidth="1"/>
    <col min="15" max="15" width="1.7109375" style="1" customWidth="1"/>
    <col min="16" max="16" width="12.7109375" style="1" customWidth="1"/>
    <col min="17" max="17" width="16.42578125" style="1" customWidth="1"/>
    <col min="18" max="18" width="12.7109375" style="1" customWidth="1"/>
    <col min="19" max="19" width="1.7109375" style="1" customWidth="1"/>
    <col min="20" max="22" width="12.7109375" style="1" customWidth="1"/>
    <col min="23" max="23" width="1.7109375" style="1" customWidth="1"/>
    <col min="24" max="25" width="12.7109375" style="1" customWidth="1"/>
    <col min="26" max="26" width="1.7109375" style="1" customWidth="1"/>
    <col min="27" max="27" width="17" style="1" customWidth="1"/>
    <col min="28" max="28" width="1.7109375" style="1" customWidth="1"/>
    <col min="29" max="29" width="17" style="1" customWidth="1"/>
    <col min="30" max="30" width="1.7109375" style="91" customWidth="1"/>
    <col min="31" max="32" width="17" style="1" customWidth="1"/>
    <col min="33" max="33" width="17" style="91" customWidth="1"/>
    <col min="34" max="35" width="17" style="1" customWidth="1"/>
    <col min="36" max="36" width="1.7109375" style="91" customWidth="1"/>
    <col min="37" max="39" width="17" style="1" customWidth="1"/>
    <col min="40" max="40" width="1.7109375" style="1" customWidth="1"/>
    <col min="41" max="41" width="16.7109375" style="1" customWidth="1"/>
    <col min="42" max="42" width="14" style="1" customWidth="1"/>
    <col min="43" max="43" width="1.7109375" style="1" customWidth="1"/>
    <col min="44" max="44" width="15.42578125" style="1" customWidth="1"/>
    <col min="45" max="45" width="14" style="1" customWidth="1"/>
    <col min="46" max="47" width="9.140625" style="1" customWidth="1"/>
    <col min="48" max="16384" width="9.140625" style="1"/>
  </cols>
  <sheetData>
    <row r="1" spans="1:8" hidden="1" x14ac:dyDescent="0.2"/>
    <row r="2" spans="1:8" hidden="1" x14ac:dyDescent="0.2">
      <c r="A2" s="2" t="s">
        <v>74</v>
      </c>
      <c r="B2" s="1" t="s">
        <v>79</v>
      </c>
    </row>
    <row r="3" spans="1:8" hidden="1" x14ac:dyDescent="0.2">
      <c r="A3" s="2" t="s">
        <v>75</v>
      </c>
      <c r="B3" s="1" t="s">
        <v>78</v>
      </c>
    </row>
    <row r="4" spans="1:8" hidden="1" x14ac:dyDescent="0.2">
      <c r="A4" s="2"/>
    </row>
    <row r="5" spans="1:8" hidden="1" x14ac:dyDescent="0.2">
      <c r="A5" s="3" t="s">
        <v>1</v>
      </c>
      <c r="B5" s="3"/>
      <c r="C5" s="3"/>
      <c r="D5" s="3"/>
      <c r="E5" s="3"/>
      <c r="F5" s="3"/>
      <c r="G5" s="3"/>
      <c r="H5" s="3"/>
    </row>
    <row r="6" spans="1:8" hidden="1" x14ac:dyDescent="0.2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1:8" hidden="1" x14ac:dyDescent="0.2">
      <c r="A7" s="5" t="s">
        <v>9</v>
      </c>
      <c r="B7" s="11">
        <v>251.2</v>
      </c>
      <c r="C7" s="11">
        <v>49</v>
      </c>
      <c r="D7" s="11">
        <v>29.6</v>
      </c>
      <c r="E7" s="11">
        <v>193.2</v>
      </c>
      <c r="F7" s="11">
        <v>105.7</v>
      </c>
      <c r="G7" s="11">
        <v>5.5</v>
      </c>
    </row>
    <row r="8" spans="1:8" hidden="1" x14ac:dyDescent="0.2">
      <c r="A8" s="5" t="s">
        <v>10</v>
      </c>
      <c r="B8" s="12">
        <v>20</v>
      </c>
      <c r="C8" s="11">
        <v>39.4</v>
      </c>
      <c r="D8" s="11">
        <v>15.4</v>
      </c>
      <c r="E8" s="11">
        <v>20.399999999999999</v>
      </c>
      <c r="F8" s="11">
        <v>8.3000000000000007</v>
      </c>
      <c r="G8" s="11">
        <v>3.2</v>
      </c>
    </row>
    <row r="9" spans="1:8" hidden="1" x14ac:dyDescent="0.2">
      <c r="A9" s="5" t="s">
        <v>11</v>
      </c>
      <c r="B9" s="11">
        <v>248.8</v>
      </c>
      <c r="C9" s="11">
        <v>52.5</v>
      </c>
      <c r="D9" s="11">
        <v>36.700000000000003</v>
      </c>
      <c r="E9" s="12">
        <v>111</v>
      </c>
      <c r="F9" s="11">
        <v>94.2</v>
      </c>
      <c r="G9" s="11">
        <v>7.8</v>
      </c>
    </row>
    <row r="10" spans="1:8" hidden="1" x14ac:dyDescent="0.2">
      <c r="A10" s="5" t="s">
        <v>12</v>
      </c>
      <c r="B10" s="11">
        <v>51.1</v>
      </c>
      <c r="C10" s="12">
        <v>10</v>
      </c>
      <c r="D10" s="11">
        <v>13.6</v>
      </c>
      <c r="E10" s="12">
        <v>8</v>
      </c>
      <c r="F10" s="11">
        <v>29.9</v>
      </c>
      <c r="G10" s="11">
        <v>2.9</v>
      </c>
    </row>
    <row r="11" spans="1:8" hidden="1" x14ac:dyDescent="0.2">
      <c r="A11" s="5" t="s">
        <v>13</v>
      </c>
      <c r="E11" s="5" t="s">
        <v>14</v>
      </c>
    </row>
    <row r="12" spans="1:8" hidden="1" x14ac:dyDescent="0.2">
      <c r="B12" s="5"/>
      <c r="F12" s="5"/>
    </row>
    <row r="13" spans="1:8" hidden="1" x14ac:dyDescent="0.2">
      <c r="A13" s="3" t="s">
        <v>15</v>
      </c>
      <c r="B13" s="3"/>
      <c r="C13" s="3"/>
      <c r="D13" s="3"/>
      <c r="E13" s="3"/>
      <c r="F13" s="3"/>
      <c r="G13" s="3"/>
    </row>
    <row r="14" spans="1:8" hidden="1" x14ac:dyDescent="0.2">
      <c r="A14" s="5" t="s">
        <v>16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</row>
    <row r="15" spans="1:8" hidden="1" x14ac:dyDescent="0.2">
      <c r="A15" s="5" t="s">
        <v>23</v>
      </c>
      <c r="B15" s="13">
        <v>778144</v>
      </c>
      <c r="C15" s="13">
        <v>137801</v>
      </c>
      <c r="D15" s="13">
        <v>128410</v>
      </c>
      <c r="E15" s="13">
        <v>316425</v>
      </c>
      <c r="F15" s="13">
        <v>203907</v>
      </c>
      <c r="G15" s="13">
        <v>15595</v>
      </c>
    </row>
    <row r="16" spans="1:8" hidden="1" x14ac:dyDescent="0.2">
      <c r="A16" s="5" t="s">
        <v>24</v>
      </c>
      <c r="B16" s="13">
        <v>8009</v>
      </c>
      <c r="C16" s="13">
        <v>9361</v>
      </c>
      <c r="D16" s="13">
        <v>2932</v>
      </c>
      <c r="E16" s="13">
        <v>18994</v>
      </c>
      <c r="F16" s="13">
        <v>2204</v>
      </c>
      <c r="G16" s="13">
        <v>1496</v>
      </c>
    </row>
    <row r="17" spans="1:10" hidden="1" x14ac:dyDescent="0.2">
      <c r="A17" s="60" t="s">
        <v>25</v>
      </c>
      <c r="B17" s="61" t="s">
        <v>26</v>
      </c>
      <c r="C17" s="61" t="s">
        <v>27</v>
      </c>
      <c r="D17" s="61" t="s">
        <v>26</v>
      </c>
      <c r="E17" s="61" t="s">
        <v>26</v>
      </c>
      <c r="F17" s="61" t="s">
        <v>26</v>
      </c>
      <c r="G17" s="61" t="s">
        <v>26</v>
      </c>
    </row>
    <row r="18" spans="1:10" hidden="1" x14ac:dyDescent="0.2">
      <c r="A18" s="58" t="s">
        <v>86</v>
      </c>
      <c r="B18" s="59">
        <f>B16/B15</f>
        <v>1.0292439445655303E-2</v>
      </c>
      <c r="C18" s="59">
        <f t="shared" ref="C18" si="0">C16/C15</f>
        <v>6.7931292225745815E-2</v>
      </c>
      <c r="D18" s="59">
        <f>D16/D15</f>
        <v>2.2833112685927887E-2</v>
      </c>
      <c r="E18" s="59">
        <f>E16/E15</f>
        <v>6.0026862605672748E-2</v>
      </c>
      <c r="F18" s="59">
        <f>F16/F15</f>
        <v>1.0808849132202425E-2</v>
      </c>
      <c r="G18" s="59">
        <f>G16/G15</f>
        <v>9.5928182109650525E-2</v>
      </c>
    </row>
    <row r="19" spans="1:10" hidden="1" x14ac:dyDescent="0.2">
      <c r="A19" s="5" t="s">
        <v>32</v>
      </c>
    </row>
    <row r="20" spans="1:10" hidden="1" x14ac:dyDescent="0.2">
      <c r="A20" s="5"/>
    </row>
    <row r="21" spans="1:10" hidden="1" x14ac:dyDescent="0.2">
      <c r="A21" s="5" t="s">
        <v>35</v>
      </c>
      <c r="H21" s="5" t="s">
        <v>0</v>
      </c>
    </row>
    <row r="22" spans="1:10" hidden="1" x14ac:dyDescent="0.2">
      <c r="A22" s="3" t="s">
        <v>36</v>
      </c>
      <c r="B22" s="3"/>
      <c r="C22" s="3"/>
      <c r="D22" s="3"/>
      <c r="E22" s="3"/>
      <c r="F22" s="3"/>
      <c r="G22" s="3"/>
      <c r="H22" s="3"/>
    </row>
    <row r="23" spans="1:10" hidden="1" x14ac:dyDescent="0.2"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43</v>
      </c>
    </row>
    <row r="24" spans="1:10" hidden="1" x14ac:dyDescent="0.2">
      <c r="A24" s="5" t="s">
        <v>44</v>
      </c>
    </row>
    <row r="25" spans="1:10" hidden="1" x14ac:dyDescent="0.2">
      <c r="A25" s="5" t="s">
        <v>33</v>
      </c>
      <c r="B25" s="13">
        <v>6000000</v>
      </c>
      <c r="C25" s="13">
        <v>6000000</v>
      </c>
      <c r="D25" s="13">
        <v>6000000</v>
      </c>
      <c r="E25" s="13">
        <v>1000000</v>
      </c>
      <c r="F25" s="13">
        <v>6000000</v>
      </c>
      <c r="G25" s="13">
        <v>2000000</v>
      </c>
      <c r="H25" s="13">
        <v>27000000</v>
      </c>
    </row>
    <row r="26" spans="1:10" hidden="1" x14ac:dyDescent="0.2">
      <c r="A26" s="5" t="s">
        <v>46</v>
      </c>
      <c r="B26" s="14">
        <v>0.53</v>
      </c>
      <c r="C26" s="14">
        <v>0.88</v>
      </c>
      <c r="D26" s="14">
        <v>0.6</v>
      </c>
      <c r="E26" s="14">
        <v>0.56999999999999995</v>
      </c>
      <c r="F26" s="14">
        <v>0.56000000000000005</v>
      </c>
      <c r="G26" s="14">
        <v>0.71</v>
      </c>
      <c r="H26" s="14">
        <v>0.64</v>
      </c>
      <c r="J26" s="6"/>
    </row>
    <row r="27" spans="1:10" hidden="1" x14ac:dyDescent="0.2">
      <c r="A27" s="5" t="s">
        <v>47</v>
      </c>
      <c r="B27" s="15">
        <v>3180</v>
      </c>
      <c r="C27" s="15">
        <v>5280</v>
      </c>
      <c r="D27" s="15">
        <v>3600</v>
      </c>
      <c r="E27" s="15">
        <v>570</v>
      </c>
      <c r="F27" s="15">
        <v>3360</v>
      </c>
      <c r="G27" s="15">
        <v>1420</v>
      </c>
      <c r="H27" s="15">
        <v>17410</v>
      </c>
    </row>
    <row r="28" spans="1:10" hidden="1" x14ac:dyDescent="0.2">
      <c r="A28" s="5" t="s">
        <v>48</v>
      </c>
    </row>
    <row r="29" spans="1:10" hidden="1" x14ac:dyDescent="0.2">
      <c r="A29" s="5" t="s">
        <v>33</v>
      </c>
      <c r="B29" s="13">
        <v>3500000</v>
      </c>
      <c r="C29" s="13">
        <v>3700000</v>
      </c>
      <c r="D29" s="13">
        <v>3700000</v>
      </c>
      <c r="E29" s="13">
        <v>700000</v>
      </c>
      <c r="F29" s="13">
        <v>3700000</v>
      </c>
      <c r="G29" s="13">
        <v>1350000</v>
      </c>
      <c r="H29" s="13">
        <v>16650000</v>
      </c>
    </row>
    <row r="30" spans="1:10" hidden="1" x14ac:dyDescent="0.2">
      <c r="A30" s="5" t="s">
        <v>46</v>
      </c>
      <c r="B30" s="14">
        <v>4.41</v>
      </c>
      <c r="C30" s="14">
        <v>5.25</v>
      </c>
      <c r="D30" s="14">
        <v>3.22</v>
      </c>
      <c r="E30" s="14">
        <v>4.41</v>
      </c>
      <c r="F30" s="14">
        <v>3.85</v>
      </c>
      <c r="G30" s="14">
        <v>5.6</v>
      </c>
      <c r="H30" s="14">
        <v>4.3</v>
      </c>
    </row>
    <row r="31" spans="1:10" hidden="1" x14ac:dyDescent="0.2">
      <c r="A31" s="5" t="s">
        <v>47</v>
      </c>
      <c r="B31" s="15">
        <v>15435</v>
      </c>
      <c r="C31" s="15">
        <v>19425</v>
      </c>
      <c r="D31" s="15">
        <v>11914</v>
      </c>
      <c r="E31" s="15">
        <v>3087</v>
      </c>
      <c r="F31" s="15">
        <v>14245</v>
      </c>
      <c r="G31" s="15">
        <v>7560</v>
      </c>
      <c r="H31" s="15">
        <v>71666</v>
      </c>
    </row>
    <row r="32" spans="1:10" hidden="1" x14ac:dyDescent="0.2">
      <c r="A32" s="5" t="s">
        <v>52</v>
      </c>
    </row>
    <row r="33" spans="1:14" ht="12.75" hidden="1" customHeight="1" x14ac:dyDescent="0.2">
      <c r="A33" s="5" t="s">
        <v>33</v>
      </c>
      <c r="B33" s="13">
        <v>3000000</v>
      </c>
      <c r="C33" s="5" t="s">
        <v>34</v>
      </c>
      <c r="D33" s="13">
        <v>3000000</v>
      </c>
      <c r="E33" s="13">
        <v>3000000</v>
      </c>
      <c r="F33" s="13">
        <v>3000000</v>
      </c>
      <c r="G33" s="13">
        <v>3000000</v>
      </c>
      <c r="H33" s="13">
        <v>15000000</v>
      </c>
      <c r="I33" s="148" t="s">
        <v>84</v>
      </c>
      <c r="J33" s="148"/>
      <c r="K33" s="148"/>
      <c r="L33" s="29"/>
    </row>
    <row r="34" spans="1:14" hidden="1" x14ac:dyDescent="0.2">
      <c r="A34" s="5" t="s">
        <v>46</v>
      </c>
      <c r="B34" s="14">
        <v>0.4</v>
      </c>
      <c r="C34" s="5" t="s">
        <v>34</v>
      </c>
      <c r="D34" s="14">
        <v>0.4</v>
      </c>
      <c r="E34" s="14">
        <v>0.4</v>
      </c>
      <c r="F34" s="14">
        <v>0.4</v>
      </c>
      <c r="G34" s="14">
        <v>0.4</v>
      </c>
      <c r="H34" s="14">
        <v>0.4</v>
      </c>
      <c r="I34" s="148"/>
      <c r="J34" s="148"/>
      <c r="K34" s="148"/>
      <c r="L34" s="29"/>
    </row>
    <row r="35" spans="1:14" hidden="1" x14ac:dyDescent="0.2">
      <c r="A35" s="5" t="s">
        <v>47</v>
      </c>
      <c r="B35" s="15">
        <v>1200</v>
      </c>
      <c r="C35" s="5" t="s">
        <v>34</v>
      </c>
      <c r="D35" s="15">
        <v>1200</v>
      </c>
      <c r="E35" s="15">
        <v>1200</v>
      </c>
      <c r="F35" s="15">
        <v>1200</v>
      </c>
      <c r="G35" s="15">
        <v>1200</v>
      </c>
      <c r="H35" s="15">
        <v>6000</v>
      </c>
      <c r="I35" s="148"/>
      <c r="J35" s="148"/>
      <c r="K35" s="148"/>
      <c r="L35" s="29"/>
    </row>
    <row r="36" spans="1:14" hidden="1" x14ac:dyDescent="0.2">
      <c r="A36" s="5" t="s">
        <v>59</v>
      </c>
    </row>
    <row r="37" spans="1:14" hidden="1" x14ac:dyDescent="0.2">
      <c r="A37" s="5" t="s">
        <v>33</v>
      </c>
      <c r="B37" s="13">
        <v>12500000</v>
      </c>
      <c r="C37" s="13">
        <v>9700000</v>
      </c>
      <c r="D37" s="13">
        <v>12700000</v>
      </c>
      <c r="E37" s="13">
        <v>4700000</v>
      </c>
      <c r="F37" s="13">
        <v>12700000</v>
      </c>
      <c r="G37" s="13">
        <v>6350000</v>
      </c>
      <c r="H37" s="13">
        <v>58650000</v>
      </c>
      <c r="I37" s="149" t="s">
        <v>77</v>
      </c>
      <c r="J37" s="150"/>
    </row>
    <row r="38" spans="1:14" ht="13.5" hidden="1" thickBot="1" x14ac:dyDescent="0.25">
      <c r="A38" s="5" t="s">
        <v>47</v>
      </c>
      <c r="B38" s="15">
        <v>19815</v>
      </c>
      <c r="C38" s="15">
        <v>24705</v>
      </c>
      <c r="D38" s="15">
        <v>16714</v>
      </c>
      <c r="E38" s="15">
        <v>4857</v>
      </c>
      <c r="F38" s="15">
        <v>18805</v>
      </c>
      <c r="G38" s="15">
        <v>10180</v>
      </c>
      <c r="H38" s="15">
        <v>95076</v>
      </c>
      <c r="I38" s="40">
        <f>H38*1.09</f>
        <v>103632.84000000001</v>
      </c>
      <c r="J38" s="41"/>
    </row>
    <row r="39" spans="1:14" hidden="1" x14ac:dyDescent="0.2"/>
    <row r="40" spans="1:14" hidden="1" x14ac:dyDescent="0.2">
      <c r="A40" s="3" t="s">
        <v>76</v>
      </c>
      <c r="B40" s="3"/>
      <c r="C40" s="3"/>
      <c r="D40" s="3"/>
      <c r="E40" s="3"/>
      <c r="F40" s="3"/>
      <c r="G40" s="3"/>
    </row>
    <row r="41" spans="1:14" hidden="1" x14ac:dyDescent="0.2">
      <c r="D41" s="5"/>
    </row>
    <row r="42" spans="1:14" hidden="1" x14ac:dyDescent="0.2">
      <c r="A42" s="5" t="s">
        <v>62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</row>
    <row r="43" spans="1:14" hidden="1" x14ac:dyDescent="0.2">
      <c r="A43" s="5" t="s">
        <v>69</v>
      </c>
      <c r="B43" s="16">
        <v>8.9999999999999998E-4</v>
      </c>
      <c r="C43" s="16">
        <v>8.0000000000000004E-4</v>
      </c>
      <c r="D43" s="16">
        <v>1.1000000000000001E-3</v>
      </c>
      <c r="E43" s="16">
        <v>1.1999999999999999E-3</v>
      </c>
      <c r="F43" s="16">
        <v>1.1000000000000001E-3</v>
      </c>
      <c r="G43" s="16">
        <v>1.1999999999999999E-3</v>
      </c>
    </row>
    <row r="44" spans="1:14" ht="12.75" hidden="1" customHeight="1" x14ac:dyDescent="0.2">
      <c r="A44" s="5" t="s">
        <v>70</v>
      </c>
      <c r="B44" s="16">
        <v>4.3E-3</v>
      </c>
      <c r="C44" s="16">
        <v>2.3E-3</v>
      </c>
      <c r="D44" s="16">
        <v>3.2000000000000002E-3</v>
      </c>
      <c r="E44" s="16">
        <v>5.8999999999999999E-3</v>
      </c>
      <c r="F44" s="16">
        <v>4.7999999999999996E-3</v>
      </c>
      <c r="G44" s="16">
        <v>3.3999999999999998E-3</v>
      </c>
      <c r="L44" s="151" t="s">
        <v>83</v>
      </c>
      <c r="M44" s="7">
        <v>1.25</v>
      </c>
      <c r="N44" s="1" t="s">
        <v>87</v>
      </c>
    </row>
    <row r="45" spans="1:14" ht="13.5" hidden="1" thickBot="1" x14ac:dyDescent="0.25">
      <c r="A45" s="5" t="s">
        <v>71</v>
      </c>
      <c r="B45" s="11">
        <v>12.9</v>
      </c>
      <c r="C45" s="11">
        <v>41.1</v>
      </c>
      <c r="D45" s="11">
        <v>21.4</v>
      </c>
      <c r="E45" s="11">
        <v>26.5</v>
      </c>
      <c r="F45" s="11">
        <v>32.4</v>
      </c>
      <c r="G45" s="11">
        <v>20.6</v>
      </c>
      <c r="L45" s="152"/>
      <c r="M45" s="8">
        <v>0.75</v>
      </c>
      <c r="N45" s="1" t="s">
        <v>88</v>
      </c>
    </row>
    <row r="46" spans="1:14" hidden="1" x14ac:dyDescent="0.2">
      <c r="A46" s="5" t="s">
        <v>72</v>
      </c>
      <c r="B46" s="16">
        <v>1.9599999999999999E-2</v>
      </c>
      <c r="C46" s="16">
        <v>2.3900000000000001E-2</v>
      </c>
      <c r="D46" s="16">
        <v>1.8200000000000001E-2</v>
      </c>
      <c r="E46" s="16">
        <v>2.64E-2</v>
      </c>
      <c r="F46" s="16">
        <v>1.8100000000000002E-2</v>
      </c>
      <c r="G46" s="16">
        <v>1.83E-2</v>
      </c>
    </row>
    <row r="47" spans="1:14" hidden="1" x14ac:dyDescent="0.2">
      <c r="A47" s="5" t="s">
        <v>73</v>
      </c>
      <c r="B47" s="16">
        <v>5.0000000000000001E-4</v>
      </c>
      <c r="C47" s="16">
        <v>5.0000000000000001E-4</v>
      </c>
      <c r="D47" s="16">
        <v>5.0000000000000001E-4</v>
      </c>
      <c r="E47" s="16">
        <v>5.0000000000000001E-4</v>
      </c>
      <c r="F47" s="16">
        <v>5.0000000000000001E-4</v>
      </c>
      <c r="G47" s="16">
        <v>5.0000000000000001E-4</v>
      </c>
    </row>
    <row r="48" spans="1:14" hidden="1" x14ac:dyDescent="0.2">
      <c r="A48" s="5"/>
      <c r="B48" s="16"/>
      <c r="C48" s="16"/>
      <c r="D48" s="16"/>
      <c r="E48" s="16"/>
      <c r="F48" s="16"/>
      <c r="G48" s="16"/>
    </row>
    <row r="49" spans="1:48" x14ac:dyDescent="0.2">
      <c r="A49" s="5"/>
      <c r="B49" s="16"/>
      <c r="C49" s="16"/>
      <c r="D49" s="16"/>
      <c r="E49" s="16"/>
      <c r="F49" s="16"/>
      <c r="G49" s="16"/>
    </row>
    <row r="50" spans="1:48" ht="31.5" customHeight="1" x14ac:dyDescent="0.2">
      <c r="A50" s="103" t="s">
        <v>121</v>
      </c>
      <c r="B50" s="102">
        <f>H86</f>
        <v>139772.13501064345</v>
      </c>
      <c r="C50" s="53"/>
      <c r="D50" s="53"/>
      <c r="E50" s="16"/>
      <c r="F50" s="16"/>
      <c r="L50" s="16"/>
    </row>
    <row r="51" spans="1:48" ht="13.5" thickBot="1" x14ac:dyDescent="0.25">
      <c r="A51" s="79"/>
      <c r="B51" s="64"/>
      <c r="C51" s="53"/>
      <c r="D51" s="53"/>
      <c r="E51" s="16"/>
      <c r="F51" s="16"/>
      <c r="L51" s="16"/>
    </row>
    <row r="52" spans="1:48" x14ac:dyDescent="0.2">
      <c r="A52" s="65" t="s">
        <v>120</v>
      </c>
      <c r="B52" s="108"/>
      <c r="C52" s="114"/>
      <c r="D52" s="114"/>
      <c r="E52" s="108"/>
      <c r="F52" s="114"/>
      <c r="G52" s="109"/>
      <c r="L52" s="16"/>
    </row>
    <row r="53" spans="1:48" x14ac:dyDescent="0.2">
      <c r="A53" s="70" t="s">
        <v>116</v>
      </c>
      <c r="B53" s="106"/>
      <c r="C53" s="63"/>
      <c r="D53" s="63"/>
      <c r="E53" s="106"/>
      <c r="F53" s="63"/>
      <c r="G53" s="110"/>
      <c r="L53" s="16"/>
    </row>
    <row r="54" spans="1:48" x14ac:dyDescent="0.2">
      <c r="A54" s="100" t="s">
        <v>123</v>
      </c>
      <c r="B54" s="106"/>
      <c r="C54" s="107"/>
      <c r="D54" s="107"/>
      <c r="E54" s="106"/>
      <c r="F54" s="107"/>
      <c r="G54" s="111"/>
      <c r="L54" s="16"/>
    </row>
    <row r="55" spans="1:48" x14ac:dyDescent="0.2">
      <c r="A55" s="100" t="s">
        <v>122</v>
      </c>
      <c r="B55" s="106"/>
      <c r="C55" s="107"/>
      <c r="D55" s="107"/>
      <c r="E55" s="106"/>
      <c r="F55" s="107"/>
      <c r="G55" s="111"/>
      <c r="L55" s="16"/>
    </row>
    <row r="56" spans="1:48" x14ac:dyDescent="0.2">
      <c r="A56" s="100" t="s">
        <v>124</v>
      </c>
      <c r="B56" s="106"/>
      <c r="C56" s="107"/>
      <c r="D56" s="107"/>
      <c r="E56" s="106"/>
      <c r="F56" s="107"/>
      <c r="G56" s="111"/>
      <c r="L56" s="16"/>
    </row>
    <row r="57" spans="1:48" ht="13.5" thickBot="1" x14ac:dyDescent="0.25">
      <c r="A57" s="74" t="s">
        <v>119</v>
      </c>
      <c r="B57" s="112"/>
      <c r="C57" s="115"/>
      <c r="D57" s="115"/>
      <c r="E57" s="112"/>
      <c r="F57" s="115"/>
      <c r="G57" s="116"/>
      <c r="L57" s="16"/>
    </row>
    <row r="58" spans="1:48" ht="13.5" thickBot="1" x14ac:dyDescent="0.25">
      <c r="A58" s="5"/>
      <c r="B58" s="16"/>
      <c r="C58" s="53"/>
      <c r="D58" s="53"/>
      <c r="E58" s="16"/>
      <c r="F58" s="16"/>
      <c r="Q58" s="16"/>
      <c r="R58" s="16"/>
      <c r="T58" s="16"/>
      <c r="AM58" s="31"/>
    </row>
    <row r="59" spans="1:48" ht="13.5" thickBot="1" x14ac:dyDescent="0.25">
      <c r="A59" s="50"/>
      <c r="B59" s="50"/>
      <c r="C59" s="153" t="s">
        <v>101</v>
      </c>
      <c r="D59" s="153"/>
      <c r="E59" s="153"/>
      <c r="F59" s="153"/>
      <c r="G59" s="153" t="s">
        <v>102</v>
      </c>
      <c r="H59" s="153"/>
      <c r="I59" s="153"/>
      <c r="J59" s="153"/>
      <c r="K59" s="153" t="s">
        <v>107</v>
      </c>
      <c r="L59" s="153"/>
      <c r="M59" s="153"/>
      <c r="N59" s="153"/>
      <c r="P59" s="154" t="s">
        <v>101</v>
      </c>
      <c r="Q59" s="147"/>
      <c r="R59" s="147"/>
      <c r="T59" s="147" t="s">
        <v>125</v>
      </c>
      <c r="U59" s="147"/>
      <c r="V59" s="147"/>
      <c r="X59" s="147" t="s">
        <v>107</v>
      </c>
      <c r="Y59" s="147"/>
      <c r="AD59" s="92"/>
      <c r="AE59" s="26">
        <f>AVERAGE(AE73,AE81,AE77,AE69,AE65,AE61)</f>
        <v>19.25</v>
      </c>
      <c r="AF59" s="26">
        <f>AVERAGE(AF73,AF81,AF77,AF69,AF65,AF61)</f>
        <v>263380.33333333331</v>
      </c>
      <c r="AG59" s="96"/>
      <c r="AH59" s="26">
        <f>AVERAGE(AH73,AH81,AH77,AH69,AH65,AH61)</f>
        <v>7166</v>
      </c>
      <c r="AI59" s="27">
        <f>AVERAGE(AI73,AI81,AI77,AI69,AI65,AI61)</f>
        <v>4.4636789700809115E-2</v>
      </c>
      <c r="AJ59" s="92"/>
      <c r="AK59" s="26">
        <f>AVERAGE(AK73,AK81,AK77,AK69,AK65,AK61)</f>
        <v>105.7</v>
      </c>
      <c r="AL59" s="26">
        <f t="shared" ref="AL59:AM59" si="1">AVERAGE(AL73,AL81,AL77,AL69,AL65,AL61)</f>
        <v>17.783333333333331</v>
      </c>
      <c r="AM59" s="26">
        <f t="shared" si="1"/>
        <v>91.833333333333329</v>
      </c>
      <c r="AO59" s="26">
        <f>AVERAGE(AO73,AO81,AO77,AO69,AO65,AO61)</f>
        <v>25.816666666666666</v>
      </c>
      <c r="AP59" s="28">
        <f>AVERAGE(AP73,AP81,AP77,AP69,AP65,AP61)</f>
        <v>2.0750000000000005E-2</v>
      </c>
    </row>
    <row r="60" spans="1:48" ht="26.25" thickBot="1" x14ac:dyDescent="0.25">
      <c r="A60" s="86" t="s">
        <v>85</v>
      </c>
      <c r="B60" s="82" t="s">
        <v>105</v>
      </c>
      <c r="C60" s="80" t="s">
        <v>97</v>
      </c>
      <c r="D60" s="81" t="s">
        <v>96</v>
      </c>
      <c r="E60" s="81" t="s">
        <v>99</v>
      </c>
      <c r="F60" s="82" t="s">
        <v>100</v>
      </c>
      <c r="G60" s="80" t="s">
        <v>97</v>
      </c>
      <c r="H60" s="81" t="s">
        <v>96</v>
      </c>
      <c r="I60" s="81" t="s">
        <v>99</v>
      </c>
      <c r="J60" s="82" t="s">
        <v>100</v>
      </c>
      <c r="K60" s="83" t="s">
        <v>97</v>
      </c>
      <c r="L60" s="84" t="s">
        <v>96</v>
      </c>
      <c r="M60" s="84" t="s">
        <v>99</v>
      </c>
      <c r="N60" s="85" t="s">
        <v>100</v>
      </c>
      <c r="P60" s="80" t="s">
        <v>111</v>
      </c>
      <c r="Q60" s="81" t="s">
        <v>112</v>
      </c>
      <c r="R60" s="82" t="s">
        <v>113</v>
      </c>
      <c r="T60" s="80" t="s">
        <v>126</v>
      </c>
      <c r="U60" s="81" t="s">
        <v>111</v>
      </c>
      <c r="V60" s="82" t="s">
        <v>112</v>
      </c>
      <c r="X60" s="80" t="s">
        <v>111</v>
      </c>
      <c r="Y60" s="80" t="s">
        <v>114</v>
      </c>
      <c r="AA60" s="80" t="s">
        <v>115</v>
      </c>
      <c r="AC60" s="24" t="s">
        <v>69</v>
      </c>
      <c r="AD60" s="93"/>
      <c r="AE60" s="24" t="s">
        <v>12</v>
      </c>
      <c r="AF60" s="24" t="s">
        <v>23</v>
      </c>
      <c r="AG60" s="93"/>
      <c r="AH60" s="24" t="s">
        <v>24</v>
      </c>
      <c r="AI60" s="24" t="s">
        <v>86</v>
      </c>
      <c r="AJ60" s="93"/>
      <c r="AK60" s="24" t="s">
        <v>9</v>
      </c>
      <c r="AL60" s="24" t="s">
        <v>10</v>
      </c>
      <c r="AM60" s="24" t="s">
        <v>11</v>
      </c>
      <c r="AO60" s="24" t="s">
        <v>71</v>
      </c>
      <c r="AP60" s="24" t="s">
        <v>72</v>
      </c>
      <c r="AR60" s="24" t="s">
        <v>127</v>
      </c>
      <c r="AS60" s="24" t="s">
        <v>128</v>
      </c>
    </row>
    <row r="61" spans="1:48" x14ac:dyDescent="0.2">
      <c r="A61" s="18" t="s">
        <v>3</v>
      </c>
      <c r="B61" s="22"/>
      <c r="C61" s="46">
        <f>SUM(C62:C64)</f>
        <v>12500000</v>
      </c>
      <c r="D61" s="54">
        <f>SUM(D62:D64)</f>
        <v>13713969.217581378</v>
      </c>
      <c r="E61" s="54">
        <f t="shared" ref="E61:E84" si="2">IFERROR(D61-C61,0)</f>
        <v>1213969.2175813783</v>
      </c>
      <c r="F61" s="23">
        <f t="shared" ref="F61:F67" si="3">E61/C61</f>
        <v>9.711753740651026E-2</v>
      </c>
      <c r="G61" s="54">
        <f>SUM(G62:G64)</f>
        <v>26134.501999999997</v>
      </c>
      <c r="H61" s="54">
        <f>SUM(H62:H64)</f>
        <v>32290.355360796279</v>
      </c>
      <c r="I61" s="54">
        <f>IFERROR(H61-G61,0)</f>
        <v>6155.8533607962818</v>
      </c>
      <c r="J61" s="23">
        <f>I61/G61</f>
        <v>0.23554507986401588</v>
      </c>
      <c r="K61" s="54">
        <f>SUM(K62:K64)</f>
        <v>19815</v>
      </c>
      <c r="L61" s="54">
        <f>SUM(L62:L64)</f>
        <v>24918.499029139279</v>
      </c>
      <c r="M61" s="54">
        <f>IFERROR(L61-K61,0)</f>
        <v>5103.4990291392787</v>
      </c>
      <c r="N61" s="23">
        <f>M61/K61</f>
        <v>0.25755735700929994</v>
      </c>
      <c r="P61" s="32" t="s">
        <v>90</v>
      </c>
      <c r="Q61" s="37">
        <f>C61*1.5</f>
        <v>18750000</v>
      </c>
      <c r="U61" s="31"/>
      <c r="V61" s="37"/>
      <c r="X61" s="31" t="s">
        <v>90</v>
      </c>
      <c r="Y61" s="37">
        <v>95000</v>
      </c>
      <c r="AC61" s="28">
        <f>AVERAGE(AA74,AA82,AA78,AA70,AA66,AA62)</f>
        <v>1.0499999999999999E-3</v>
      </c>
      <c r="AD61" s="94"/>
      <c r="AE61" s="19">
        <f>INDEX($B$7:$B$47,MATCH(AE$60,$A$7:$A$47,0))</f>
        <v>51.1</v>
      </c>
      <c r="AF61" s="19">
        <f>INDEX($B$7:$B$47,MATCH(AF$60,$A$7:$A$47,0))</f>
        <v>778144</v>
      </c>
      <c r="AG61" s="97">
        <f>AF61/(AE61*1000000)</f>
        <v>1.5227866927592955E-2</v>
      </c>
      <c r="AH61" s="19">
        <f>INDEX($B$7:$B$47,MATCH(AH$60,$A$7:$A$47,0))</f>
        <v>8009</v>
      </c>
      <c r="AI61" s="20">
        <f>INDEX($B$7:$B$47,MATCH(AI$60,$A$7:$A$47,0))</f>
        <v>1.0292439445655303E-2</v>
      </c>
      <c r="AJ61" s="94"/>
      <c r="AK61" s="19">
        <f>INDEX($B$7:$B$47,MATCH(AK$60,$A$7:$A$47,0))</f>
        <v>251.2</v>
      </c>
      <c r="AL61" s="19">
        <f>INDEX($B$7:$B$47,MATCH(AL$60,$A$7:$A$47,0))</f>
        <v>20</v>
      </c>
      <c r="AM61" s="19">
        <f>INDEX($B$7:$B$47,MATCH(AM$60,$A$7:$A$47,0))</f>
        <v>248.8</v>
      </c>
      <c r="AO61" s="21">
        <f>INDEX($B$7:$B$47,MATCH(AO$60,$A$7:$A$47,0))</f>
        <v>12.9</v>
      </c>
      <c r="AP61" s="25">
        <f>INDEX($B$7:$B$47,MATCH(AP$60,$A$7:$A$47,0))</f>
        <v>1.9599999999999999E-2</v>
      </c>
      <c r="AR61" s="4">
        <f>C61/(AL61*1000000)</f>
        <v>0.625</v>
      </c>
      <c r="AS61" s="4">
        <f>C64/(AM61*1000000)</f>
        <v>1.2057877813504822E-2</v>
      </c>
      <c r="AU61" s="9">
        <v>0.3</v>
      </c>
      <c r="AV61" s="9">
        <v>0.6</v>
      </c>
    </row>
    <row r="62" spans="1:48" x14ac:dyDescent="0.2">
      <c r="A62" s="5" t="s">
        <v>3</v>
      </c>
      <c r="B62" s="5" t="s">
        <v>44</v>
      </c>
      <c r="C62" s="13">
        <f>$B$25</f>
        <v>6000000</v>
      </c>
      <c r="D62" s="43">
        <v>5269341.7182255723</v>
      </c>
      <c r="E62" s="37">
        <f t="shared" si="2"/>
        <v>-730658.28177442774</v>
      </c>
      <c r="F62" s="4">
        <f t="shared" si="3"/>
        <v>-0.12177638029573795</v>
      </c>
      <c r="G62" s="37">
        <f>C62*AA62</f>
        <v>5400</v>
      </c>
      <c r="H62" s="37">
        <f>D62*AA62</f>
        <v>4742.4075464030147</v>
      </c>
      <c r="I62" s="37">
        <f t="shared" ref="I62:I84" si="4">IFERROR(H62-G62,0)</f>
        <v>-657.59245359698525</v>
      </c>
      <c r="J62" s="4">
        <f t="shared" ref="J62:J86" si="5">I62/G62</f>
        <v>-0.12177638029573801</v>
      </c>
      <c r="K62" s="37">
        <f>R62*(C62/1000)</f>
        <v>3180</v>
      </c>
      <c r="L62" s="37">
        <f>R62*(D62/1000)</f>
        <v>2792.7511106595534</v>
      </c>
      <c r="M62" s="37">
        <f t="shared" ref="M62:M84" si="6">IFERROR(L62-K62,0)</f>
        <v>-387.24888934044657</v>
      </c>
      <c r="N62" s="4">
        <f t="shared" ref="N62:N67" si="7">M62/K62</f>
        <v>-0.12177638029573791</v>
      </c>
      <c r="P62" s="33" t="s">
        <v>89</v>
      </c>
      <c r="Q62" s="37">
        <f>C62*0.5</f>
        <v>3000000</v>
      </c>
      <c r="R62" s="34">
        <f>$B$26</f>
        <v>0.53</v>
      </c>
      <c r="T62" s="34"/>
      <c r="AA62" s="90">
        <f>INDEX($B$7:$B$47,MATCH(AC$60,$A$7:$A$47,0))</f>
        <v>8.9999999999999998E-4</v>
      </c>
      <c r="AC62" s="24" t="s">
        <v>70</v>
      </c>
      <c r="AG62" s="98"/>
      <c r="AP62" s="16"/>
      <c r="AQ62" s="16"/>
      <c r="AR62" s="4"/>
      <c r="AS62" s="4"/>
      <c r="AU62" s="16"/>
    </row>
    <row r="63" spans="1:48" x14ac:dyDescent="0.2">
      <c r="A63" s="5" t="s">
        <v>3</v>
      </c>
      <c r="B63" s="5" t="s">
        <v>48</v>
      </c>
      <c r="C63" s="13">
        <f>$B$29</f>
        <v>3500000</v>
      </c>
      <c r="D63" s="43">
        <v>4675286.0146477316</v>
      </c>
      <c r="E63" s="37">
        <f t="shared" si="2"/>
        <v>1175286.0146477316</v>
      </c>
      <c r="F63" s="4">
        <f t="shared" si="3"/>
        <v>0.33579600418506617</v>
      </c>
      <c r="G63" s="37">
        <f>C63*AA63+C63*AA63*AO61*AP61</f>
        <v>18855.241999999998</v>
      </c>
      <c r="H63" s="37">
        <f>D63*AA63+D63*AA63*AO61*AP61</f>
        <v>25186.756921542434</v>
      </c>
      <c r="I63" s="37">
        <f t="shared" si="4"/>
        <v>6331.5149215424353</v>
      </c>
      <c r="J63" s="4">
        <f t="shared" si="5"/>
        <v>0.33579600418506622</v>
      </c>
      <c r="K63" s="37">
        <f>R63*(C63/1000)</f>
        <v>15435</v>
      </c>
      <c r="L63" s="37">
        <f>R63*(D63/1000)</f>
        <v>20618.011324596497</v>
      </c>
      <c r="M63" s="37">
        <f t="shared" si="6"/>
        <v>5183.0113245964967</v>
      </c>
      <c r="N63" s="4">
        <f t="shared" si="7"/>
        <v>0.33579600418506622</v>
      </c>
      <c r="P63" s="33" t="s">
        <v>89</v>
      </c>
      <c r="Q63" s="37">
        <f>C63*0.5</f>
        <v>1750000</v>
      </c>
      <c r="R63" s="34">
        <f>$B$30</f>
        <v>4.41</v>
      </c>
      <c r="T63" s="34"/>
      <c r="AA63" s="90">
        <f>INDEX($B$7:$B$47,MATCH(AC$62,$A$7:$A$47,0))</f>
        <v>4.3E-3</v>
      </c>
      <c r="AC63" s="28">
        <f>AVERAGE(AA75,AA83,AA79,AA71,AA67,AA63)</f>
        <v>3.9833333333333327E-3</v>
      </c>
      <c r="AG63" s="98"/>
      <c r="AP63" s="16"/>
      <c r="AQ63" s="16"/>
      <c r="AR63" s="4"/>
      <c r="AS63" s="4"/>
      <c r="AU63" s="16"/>
    </row>
    <row r="64" spans="1:48" x14ac:dyDescent="0.2">
      <c r="A64" s="5" t="s">
        <v>3</v>
      </c>
      <c r="B64" s="5" t="s">
        <v>52</v>
      </c>
      <c r="C64" s="13">
        <f>$B$33</f>
        <v>3000000</v>
      </c>
      <c r="D64" s="43">
        <v>3769341.4847080749</v>
      </c>
      <c r="E64" s="37">
        <f t="shared" si="2"/>
        <v>769341.48470807495</v>
      </c>
      <c r="F64" s="4">
        <f t="shared" si="3"/>
        <v>0.25644716156935832</v>
      </c>
      <c r="G64" s="37">
        <f>C64*AA64+C64*AA64*AO61*AP61</f>
        <v>1879.26</v>
      </c>
      <c r="H64" s="37">
        <f>D64*AA64+D64*AA64*AO61*AP61</f>
        <v>2361.1908928508324</v>
      </c>
      <c r="I64" s="37">
        <f t="shared" si="4"/>
        <v>481.93089285083238</v>
      </c>
      <c r="J64" s="4">
        <f t="shared" si="5"/>
        <v>0.25644716156935837</v>
      </c>
      <c r="K64" s="37">
        <f>R64*(C64/1000)</f>
        <v>1200</v>
      </c>
      <c r="L64" s="37">
        <f>R64*(D64/1000)</f>
        <v>1507.7365938832299</v>
      </c>
      <c r="M64" s="37">
        <f t="shared" si="6"/>
        <v>307.73659388322994</v>
      </c>
      <c r="N64" s="4">
        <f t="shared" si="7"/>
        <v>0.25644716156935826</v>
      </c>
      <c r="P64" s="33" t="s">
        <v>89</v>
      </c>
      <c r="Q64" s="37">
        <f>C64*0.5</f>
        <v>1500000</v>
      </c>
      <c r="R64" s="34">
        <f>$B$34</f>
        <v>0.4</v>
      </c>
      <c r="T64" s="34"/>
      <c r="AA64" s="90">
        <f>INDEX($B$7:$B$47,MATCH(AC$64,$A$7:$A$47,0))</f>
        <v>5.0000000000000001E-4</v>
      </c>
      <c r="AC64" s="24" t="s">
        <v>73</v>
      </c>
      <c r="AG64" s="98"/>
      <c r="AP64" s="16"/>
      <c r="AQ64" s="16"/>
      <c r="AR64" s="4"/>
      <c r="AS64" s="4"/>
      <c r="AU64" s="16"/>
    </row>
    <row r="65" spans="1:48" x14ac:dyDescent="0.2">
      <c r="A65" s="18" t="s">
        <v>4</v>
      </c>
      <c r="B65" s="22"/>
      <c r="C65" s="46">
        <f>SUM(C66:C68)</f>
        <v>9700000</v>
      </c>
      <c r="D65" s="54">
        <f>SUM(D66:D68)</f>
        <v>14550000</v>
      </c>
      <c r="E65" s="54">
        <f t="shared" si="2"/>
        <v>4850000</v>
      </c>
      <c r="F65" s="23">
        <f t="shared" si="3"/>
        <v>0.5</v>
      </c>
      <c r="G65" s="54">
        <f>SUM(G66:G68)</f>
        <v>21669.287900000003</v>
      </c>
      <c r="H65" s="54">
        <f>SUM(H66:H68)</f>
        <v>20448.781370671626</v>
      </c>
      <c r="I65" s="54">
        <f t="shared" si="4"/>
        <v>-1220.5065293283769</v>
      </c>
      <c r="J65" s="23">
        <f t="shared" si="5"/>
        <v>-5.6324256475838171E-2</v>
      </c>
      <c r="K65" s="54">
        <f>SUM(K66:K68)</f>
        <v>24705</v>
      </c>
      <c r="L65" s="54">
        <f>SUM(L66:L68)</f>
        <v>16232.54266706706</v>
      </c>
      <c r="M65" s="54">
        <f t="shared" si="6"/>
        <v>-8472.4573329329396</v>
      </c>
      <c r="N65" s="23">
        <f t="shared" si="7"/>
        <v>-0.34294504484650634</v>
      </c>
      <c r="P65" s="32" t="s">
        <v>90</v>
      </c>
      <c r="Q65" s="37">
        <f>C65*1.5</f>
        <v>14550000</v>
      </c>
      <c r="AA65" s="91"/>
      <c r="AC65" s="28">
        <f>AVERAGE(AA76,AA84,AA80,AA72,AA68,AA64)</f>
        <v>5.0000000000000001E-4</v>
      </c>
      <c r="AD65" s="94"/>
      <c r="AE65" s="19">
        <f>INDEX($C$7:$C$47,MATCH(AE$60,$A$7:$A$47,0))</f>
        <v>10</v>
      </c>
      <c r="AF65" s="19">
        <f>INDEX($C$7:$C$47,MATCH(AF$60,$A$7:$A$47,0))</f>
        <v>137801</v>
      </c>
      <c r="AG65" s="97">
        <f>AF65/(AE65*1000000)</f>
        <v>1.37801E-2</v>
      </c>
      <c r="AH65" s="19">
        <f>INDEX($C$7:$C$47,MATCH(AH$60,$A$7:$A$47,0))</f>
        <v>9361</v>
      </c>
      <c r="AI65" s="20">
        <f>INDEX($C$7:$C$47,MATCH(AI$60,$A$7:$A$47,0))</f>
        <v>6.7931292225745815E-2</v>
      </c>
      <c r="AJ65" s="94"/>
      <c r="AK65" s="19">
        <f>INDEX($C$7:$C$47,MATCH(AK$60,$A$7:$A$47,0))</f>
        <v>49</v>
      </c>
      <c r="AL65" s="19">
        <f>INDEX($C$7:$C$47,MATCH(AL$60,$A$7:$A$47,0))</f>
        <v>39.4</v>
      </c>
      <c r="AM65" s="19">
        <f>INDEX($C$7:$C$47,MATCH(AM$60,$A$7:$A$47,0))</f>
        <v>52.5</v>
      </c>
      <c r="AO65" s="21">
        <f>INDEX($C$7:$C$47,MATCH(AO$60,$A$7:$A$47,0))</f>
        <v>41.1</v>
      </c>
      <c r="AP65" s="25">
        <f>INDEX($C$7:$C$47,MATCH(AP$60,$A$7:$A$47,0))</f>
        <v>2.3900000000000001E-2</v>
      </c>
      <c r="AR65" s="4">
        <f>C65/(AL65*1000000)</f>
        <v>0.24619289340101522</v>
      </c>
      <c r="AS65" s="4">
        <f>C68/(AM65*1000000)</f>
        <v>0</v>
      </c>
      <c r="AU65" s="9">
        <v>0.3</v>
      </c>
      <c r="AV65" s="9">
        <v>0.6</v>
      </c>
    </row>
    <row r="66" spans="1:48" x14ac:dyDescent="0.2">
      <c r="A66" s="5" t="s">
        <v>4</v>
      </c>
      <c r="B66" s="5" t="s">
        <v>44</v>
      </c>
      <c r="C66" s="13">
        <f>$C$25</f>
        <v>6000000</v>
      </c>
      <c r="D66" s="43">
        <v>3000000.8622186556</v>
      </c>
      <c r="E66" s="37">
        <f t="shared" si="2"/>
        <v>-2999999.1377813444</v>
      </c>
      <c r="F66" s="4">
        <f t="shared" si="3"/>
        <v>-0.4999998562968907</v>
      </c>
      <c r="G66" s="37">
        <f>C66*AA66</f>
        <v>4800</v>
      </c>
      <c r="H66" s="37">
        <f>D66*AA66</f>
        <v>2400.0006897749245</v>
      </c>
      <c r="I66" s="37">
        <f t="shared" si="4"/>
        <v>-2399.9993102250755</v>
      </c>
      <c r="J66" s="4">
        <f t="shared" si="5"/>
        <v>-0.49999985629689075</v>
      </c>
      <c r="K66" s="37">
        <f>R66*(C66/1000)</f>
        <v>5280</v>
      </c>
      <c r="L66" s="37">
        <f>R66*(D66/1000)</f>
        <v>2640.0007587524169</v>
      </c>
      <c r="M66" s="37">
        <f t="shared" si="6"/>
        <v>-2639.9992412475831</v>
      </c>
      <c r="N66" s="4">
        <f t="shared" si="7"/>
        <v>-0.49999985629689075</v>
      </c>
      <c r="P66" s="33" t="s">
        <v>89</v>
      </c>
      <c r="Q66" s="37">
        <f>C66*0.5</f>
        <v>3000000</v>
      </c>
      <c r="R66" s="35">
        <f>$C$26</f>
        <v>0.88</v>
      </c>
      <c r="T66" s="35"/>
      <c r="AA66" s="90">
        <f>INDEX($C$7:$C$47,MATCH(AC$60,$A$7:$A$47,0))</f>
        <v>8.0000000000000004E-4</v>
      </c>
      <c r="AG66" s="98"/>
      <c r="AP66" s="16"/>
      <c r="AQ66" s="16"/>
      <c r="AR66" s="4"/>
      <c r="AS66" s="4"/>
      <c r="AU66" s="16"/>
    </row>
    <row r="67" spans="1:48" x14ac:dyDescent="0.2">
      <c r="A67" s="5" t="s">
        <v>4</v>
      </c>
      <c r="B67" s="5" t="s">
        <v>48</v>
      </c>
      <c r="C67" s="13">
        <f>$C$29</f>
        <v>3700000</v>
      </c>
      <c r="D67" s="43">
        <v>1850008.7120004343</v>
      </c>
      <c r="E67" s="37">
        <f t="shared" si="2"/>
        <v>-1849991.2879995657</v>
      </c>
      <c r="F67" s="4">
        <f t="shared" si="3"/>
        <v>-0.49999764540528802</v>
      </c>
      <c r="G67" s="37">
        <f>C67*AA67+C67*AA67*AO65*AP65</f>
        <v>16869.287900000003</v>
      </c>
      <c r="H67" s="37">
        <f>D67*AA67+D67*AA67*AO65*AP65</f>
        <v>8434.6836703360859</v>
      </c>
      <c r="I67" s="37">
        <f t="shared" si="4"/>
        <v>-8434.6042296639171</v>
      </c>
      <c r="J67" s="4">
        <f t="shared" si="5"/>
        <v>-0.49999764540528802</v>
      </c>
      <c r="K67" s="37">
        <f>R67*(C67/1000)</f>
        <v>19425</v>
      </c>
      <c r="L67" s="37">
        <f>R67*(D67/1000)</f>
        <v>9712.5457380022799</v>
      </c>
      <c r="M67" s="37">
        <f t="shared" si="6"/>
        <v>-9712.4542619977201</v>
      </c>
      <c r="N67" s="4">
        <f t="shared" si="7"/>
        <v>-0.49999764540528802</v>
      </c>
      <c r="P67" s="33" t="s">
        <v>89</v>
      </c>
      <c r="Q67" s="37">
        <f>C67*0.5</f>
        <v>1850000</v>
      </c>
      <c r="R67" s="35">
        <f>$C$30</f>
        <v>5.25</v>
      </c>
      <c r="T67" s="35"/>
      <c r="AA67" s="90">
        <f>INDEX($C$7:$C$47,MATCH(AC$62,$A$7:$A$47,0))</f>
        <v>2.3E-3</v>
      </c>
      <c r="AG67" s="98"/>
      <c r="AP67" s="16"/>
      <c r="AQ67" s="16"/>
      <c r="AR67" s="4"/>
      <c r="AS67" s="4"/>
      <c r="AU67" s="16"/>
    </row>
    <row r="68" spans="1:48" x14ac:dyDescent="0.2">
      <c r="A68" s="5" t="s">
        <v>4</v>
      </c>
      <c r="B68" s="5" t="s">
        <v>52</v>
      </c>
      <c r="C68" s="13">
        <v>0</v>
      </c>
      <c r="D68" s="43">
        <v>9699990.4257809091</v>
      </c>
      <c r="E68" s="37">
        <f t="shared" si="2"/>
        <v>9699990.4257809091</v>
      </c>
      <c r="F68" s="4"/>
      <c r="G68" s="37">
        <f>C68*AA68+C68*AA68*AO65*AP65</f>
        <v>0</v>
      </c>
      <c r="H68" s="37">
        <f>D68*AA68+D68*AA68*AO65*AP65</f>
        <v>9614.0970105606175</v>
      </c>
      <c r="I68" s="37">
        <f t="shared" si="4"/>
        <v>9614.0970105606175</v>
      </c>
      <c r="J68" s="4"/>
      <c r="K68" s="37">
        <f>R68*(C68/1000)</f>
        <v>0</v>
      </c>
      <c r="L68" s="37">
        <f>R68*(D68/1000)</f>
        <v>3879.9961703123636</v>
      </c>
      <c r="M68" s="37">
        <f t="shared" si="6"/>
        <v>3879.9961703123636</v>
      </c>
      <c r="N68" s="4"/>
      <c r="P68" s="33" t="s">
        <v>89</v>
      </c>
      <c r="Q68" s="37">
        <v>0</v>
      </c>
      <c r="R68" s="36">
        <f>R64</f>
        <v>0.4</v>
      </c>
      <c r="T68" s="104">
        <f>D68/D65</f>
        <v>0.66666600864473602</v>
      </c>
      <c r="U68" s="33" t="s">
        <v>89</v>
      </c>
      <c r="V68" s="4">
        <v>0.4</v>
      </c>
      <c r="AA68" s="90">
        <f>INDEX($C$7:$C$47,MATCH(AC$64,$A$7:$A$47,0))</f>
        <v>5.0000000000000001E-4</v>
      </c>
      <c r="AG68" s="98"/>
      <c r="AP68" s="16"/>
      <c r="AQ68" s="16"/>
      <c r="AR68" s="4"/>
      <c r="AS68" s="4"/>
      <c r="AU68" s="16"/>
    </row>
    <row r="69" spans="1:48" x14ac:dyDescent="0.2">
      <c r="A69" s="18" t="s">
        <v>5</v>
      </c>
      <c r="B69" s="22"/>
      <c r="C69" s="46">
        <f>SUM(C70:C72)</f>
        <v>12700000</v>
      </c>
      <c r="D69" s="54">
        <f>SUM(D70:D72)</f>
        <v>6350007.5803386169</v>
      </c>
      <c r="E69" s="54">
        <f t="shared" si="2"/>
        <v>-6349992.4196613831</v>
      </c>
      <c r="F69" s="23">
        <f t="shared" ref="F69:F84" si="8">E69/C69</f>
        <v>-0.49999940312294355</v>
      </c>
      <c r="G69" s="54">
        <f>SUM(G70:G72)</f>
        <v>25135.663200000003</v>
      </c>
      <c r="H69" s="54">
        <f>SUM(H70:H72)</f>
        <v>12567.859002560892</v>
      </c>
      <c r="I69" s="54">
        <f t="shared" si="4"/>
        <v>-12567.804197439111</v>
      </c>
      <c r="J69" s="23">
        <f t="shared" si="5"/>
        <v>-0.49999890981349199</v>
      </c>
      <c r="K69" s="54">
        <f>SUM(K70:K72)</f>
        <v>16714</v>
      </c>
      <c r="L69" s="54">
        <f>SUM(L70:L72)</f>
        <v>8357.0195587104972</v>
      </c>
      <c r="M69" s="54">
        <f t="shared" si="6"/>
        <v>-8356.9804412895028</v>
      </c>
      <c r="N69" s="23">
        <f t="shared" ref="N69:N86" si="9">M69/K69</f>
        <v>-0.49999882980073607</v>
      </c>
      <c r="P69" s="32" t="s">
        <v>90</v>
      </c>
      <c r="Q69" s="37">
        <f>C69*1.5</f>
        <v>19050000</v>
      </c>
      <c r="AA69" s="91"/>
      <c r="AD69" s="94"/>
      <c r="AE69" s="19">
        <f>INDEX($D$7:$D$47,MATCH(AE$60,$A$7:$A$47,0))</f>
        <v>13.6</v>
      </c>
      <c r="AF69" s="19">
        <f>INDEX($D$7:$D$47,MATCH(AF$60,$A$7:$A$47,0))</f>
        <v>128410</v>
      </c>
      <c r="AG69" s="97">
        <f>AF69/(AE69*1000000)</f>
        <v>9.4419117647058827E-3</v>
      </c>
      <c r="AH69" s="19">
        <f>INDEX($D$7:$D$47,MATCH(AH$60,$A$7:$A$47,0))</f>
        <v>2932</v>
      </c>
      <c r="AI69" s="20">
        <f>INDEX($D$7:$D$47,MATCH(AI$60,$A$7:$A$47,0))</f>
        <v>2.2833112685927887E-2</v>
      </c>
      <c r="AJ69" s="94"/>
      <c r="AK69" s="19">
        <f>INDEX($D$7:$D$47,MATCH(AK$60,$A$7:$A$47,0))</f>
        <v>29.6</v>
      </c>
      <c r="AL69" s="19">
        <f>INDEX($D$7:$D$47,MATCH(AL$60,$A$7:$A$47,0))</f>
        <v>15.4</v>
      </c>
      <c r="AM69" s="19">
        <f>INDEX($D$7:$D$47,MATCH(AM$60,$A$7:$A$47,0))</f>
        <v>36.700000000000003</v>
      </c>
      <c r="AO69" s="21">
        <f>INDEX($D$7:$D$47,MATCH(AO$60,$A$7:$A$47,0))</f>
        <v>21.4</v>
      </c>
      <c r="AP69" s="25">
        <f>INDEX($D$7:$D$47,MATCH(AP$60,$A$7:$A$47,0))</f>
        <v>1.8200000000000001E-2</v>
      </c>
      <c r="AR69" s="4">
        <f>C69/(AL69*1000000)</f>
        <v>0.82467532467532467</v>
      </c>
      <c r="AS69" s="4">
        <f>C72/(AM69*1000000)</f>
        <v>8.1743869209809264E-2</v>
      </c>
      <c r="AU69" s="9">
        <v>0.3</v>
      </c>
      <c r="AV69" s="9">
        <v>0.6</v>
      </c>
    </row>
    <row r="70" spans="1:48" x14ac:dyDescent="0.2">
      <c r="A70" s="5" t="s">
        <v>5</v>
      </c>
      <c r="B70" s="5" t="s">
        <v>44</v>
      </c>
      <c r="C70" s="13">
        <f>$D$25</f>
        <v>6000000</v>
      </c>
      <c r="D70" s="43">
        <v>3000001.07777332</v>
      </c>
      <c r="E70" s="37">
        <f t="shared" si="2"/>
        <v>-2999998.92222668</v>
      </c>
      <c r="F70" s="4">
        <f t="shared" si="8"/>
        <v>-0.49999982037111335</v>
      </c>
      <c r="G70" s="37">
        <f>C70*AA70</f>
        <v>6600</v>
      </c>
      <c r="H70" s="37">
        <f>D70*AA70</f>
        <v>3300.0011855506523</v>
      </c>
      <c r="I70" s="37">
        <f t="shared" si="4"/>
        <v>-3299.9988144493477</v>
      </c>
      <c r="J70" s="4">
        <f t="shared" si="5"/>
        <v>-0.49999982037111329</v>
      </c>
      <c r="K70" s="37">
        <f>R70*(C70/1000)</f>
        <v>3600</v>
      </c>
      <c r="L70" s="37">
        <f>R70*(D70/1000)</f>
        <v>1800.000646663992</v>
      </c>
      <c r="M70" s="37">
        <f t="shared" si="6"/>
        <v>-1799.999353336008</v>
      </c>
      <c r="N70" s="4">
        <f t="shared" si="9"/>
        <v>-0.49999982037111335</v>
      </c>
      <c r="P70" s="33" t="s">
        <v>89</v>
      </c>
      <c r="Q70" s="37">
        <f>C70*0.5</f>
        <v>3000000</v>
      </c>
      <c r="R70" s="35">
        <f>$D$26</f>
        <v>0.6</v>
      </c>
      <c r="T70" s="35"/>
      <c r="AA70" s="90">
        <f>INDEX($D$7:$D$47,MATCH(AC$60,$A$7:$A$47,0))</f>
        <v>1.1000000000000001E-3</v>
      </c>
      <c r="AG70" s="98"/>
      <c r="AP70" s="16"/>
      <c r="AQ70" s="16"/>
      <c r="AR70" s="4"/>
      <c r="AS70" s="4"/>
      <c r="AU70" s="16"/>
    </row>
    <row r="71" spans="1:48" x14ac:dyDescent="0.2">
      <c r="A71" s="5" t="s">
        <v>5</v>
      </c>
      <c r="B71" s="5" t="s">
        <v>48</v>
      </c>
      <c r="C71" s="13">
        <f>$D$29</f>
        <v>3700000</v>
      </c>
      <c r="D71" s="43">
        <v>1850005.784049782</v>
      </c>
      <c r="E71" s="37">
        <f t="shared" si="2"/>
        <v>-1849994.215950218</v>
      </c>
      <c r="F71" s="4">
        <f t="shared" si="8"/>
        <v>-0.49999843674330219</v>
      </c>
      <c r="G71" s="37">
        <f>C71*AA71+C71*AA71*AO69*AP69</f>
        <v>16451.443200000002</v>
      </c>
      <c r="H71" s="37">
        <f>D71*AA71+D71*AA71*AO69*AP69</f>
        <v>8225.747317828771</v>
      </c>
      <c r="I71" s="37">
        <f t="shared" si="4"/>
        <v>-8225.6958821712306</v>
      </c>
      <c r="J71" s="4">
        <f t="shared" si="5"/>
        <v>-0.49999843674330224</v>
      </c>
      <c r="K71" s="37">
        <f>R71*(C71/1000)</f>
        <v>11914</v>
      </c>
      <c r="L71" s="37">
        <f>R71*(D71/1000)</f>
        <v>5957.0186246402982</v>
      </c>
      <c r="M71" s="37">
        <f t="shared" si="6"/>
        <v>-5956.9813753597018</v>
      </c>
      <c r="N71" s="4">
        <f t="shared" si="9"/>
        <v>-0.49999843674330213</v>
      </c>
      <c r="P71" s="33" t="s">
        <v>89</v>
      </c>
      <c r="Q71" s="37">
        <f>C71*0.5</f>
        <v>1850000</v>
      </c>
      <c r="R71" s="35">
        <f>$D$30</f>
        <v>3.22</v>
      </c>
      <c r="T71" s="35"/>
      <c r="AA71" s="90">
        <f>INDEX($D$7:$D$47,MATCH(AC$62,$A$7:$A$47,0))</f>
        <v>3.2000000000000002E-3</v>
      </c>
      <c r="AG71" s="98"/>
      <c r="AP71" s="16"/>
      <c r="AQ71" s="16"/>
      <c r="AR71" s="4"/>
      <c r="AS71" s="4"/>
      <c r="AU71" s="16"/>
    </row>
    <row r="72" spans="1:48" x14ac:dyDescent="0.2">
      <c r="A72" s="5" t="s">
        <v>5</v>
      </c>
      <c r="B72" s="5" t="s">
        <v>52</v>
      </c>
      <c r="C72" s="13">
        <f>$D$33</f>
        <v>3000000</v>
      </c>
      <c r="D72" s="43">
        <v>1500000.7185155146</v>
      </c>
      <c r="E72" s="37">
        <f t="shared" si="2"/>
        <v>-1499999.2814844854</v>
      </c>
      <c r="F72" s="4">
        <f t="shared" si="8"/>
        <v>-0.49999976049482847</v>
      </c>
      <c r="G72" s="37">
        <f>C72*AA72+C72*AA72*AO69*AP69</f>
        <v>2084.2199999999998</v>
      </c>
      <c r="H72" s="37">
        <f>D72*AA72+D72*AA72*AO69*AP69</f>
        <v>1042.1104991814686</v>
      </c>
      <c r="I72" s="37">
        <f t="shared" si="4"/>
        <v>-1042.1095008185312</v>
      </c>
      <c r="J72" s="4">
        <f t="shared" si="5"/>
        <v>-0.49999976049482842</v>
      </c>
      <c r="K72" s="37">
        <f>R72*(C72/1000)</f>
        <v>1200</v>
      </c>
      <c r="L72" s="37">
        <f>R72*(D72/1000)</f>
        <v>600.00028740620587</v>
      </c>
      <c r="M72" s="37">
        <f t="shared" si="6"/>
        <v>-599.99971259379413</v>
      </c>
      <c r="N72" s="4">
        <f t="shared" si="9"/>
        <v>-0.49999976049482842</v>
      </c>
      <c r="P72" s="33" t="s">
        <v>89</v>
      </c>
      <c r="Q72" s="37">
        <f>C72*0.5</f>
        <v>1500000</v>
      </c>
      <c r="R72" s="35">
        <f>$D$34</f>
        <v>0.4</v>
      </c>
      <c r="T72" s="35"/>
      <c r="AA72" s="90">
        <f>INDEX($D$7:$D$47,MATCH(AC$64,$A$7:$A$47,0))</f>
        <v>5.0000000000000001E-4</v>
      </c>
      <c r="AG72" s="98"/>
      <c r="AP72" s="16"/>
      <c r="AQ72" s="16"/>
      <c r="AR72" s="4"/>
      <c r="AS72" s="4"/>
      <c r="AU72" s="16"/>
    </row>
    <row r="73" spans="1:48" x14ac:dyDescent="0.2">
      <c r="A73" s="18" t="str">
        <f>A74</f>
        <v>Pakistan</v>
      </c>
      <c r="B73" s="22"/>
      <c r="C73" s="46">
        <f>SUM(C74:C76)</f>
        <v>4700000</v>
      </c>
      <c r="D73" s="54">
        <f>SUM(D74:D76)</f>
        <v>7050000</v>
      </c>
      <c r="E73" s="54">
        <f t="shared" si="2"/>
        <v>2350000</v>
      </c>
      <c r="F73" s="23">
        <f t="shared" si="8"/>
        <v>0.5</v>
      </c>
      <c r="G73" s="54">
        <f>SUM(G74:G76)</f>
        <v>10768.748</v>
      </c>
      <c r="H73" s="54">
        <f>SUM(H74:H76)</f>
        <v>52514.281999999992</v>
      </c>
      <c r="I73" s="54">
        <f t="shared" si="4"/>
        <v>41745.533999999992</v>
      </c>
      <c r="J73" s="23">
        <f t="shared" si="5"/>
        <v>3.8765447942509188</v>
      </c>
      <c r="K73" s="54">
        <f>SUM(K74:K76)</f>
        <v>4857</v>
      </c>
      <c r="L73" s="54">
        <f>SUM(L74:L76)</f>
        <v>23155.5</v>
      </c>
      <c r="M73" s="54">
        <f t="shared" si="6"/>
        <v>18298.5</v>
      </c>
      <c r="N73" s="23">
        <f t="shared" si="9"/>
        <v>3.7674490426189005</v>
      </c>
      <c r="P73" s="32" t="s">
        <v>90</v>
      </c>
      <c r="Q73" s="37">
        <f>C73*1.5</f>
        <v>7050000</v>
      </c>
      <c r="AA73" s="91"/>
      <c r="AD73" s="94"/>
      <c r="AE73" s="19">
        <f>INDEX($E$7:$E$47,MATCH(AE$60,$A$7:$A$47,0))</f>
        <v>8</v>
      </c>
      <c r="AF73" s="19">
        <f>INDEX($E$7:$E$47,MATCH(AF$60,$A$7:$A$47,0))</f>
        <v>316425</v>
      </c>
      <c r="AG73" s="97">
        <f>AF73/(AE73*1000000)</f>
        <v>3.9553125000000001E-2</v>
      </c>
      <c r="AH73" s="19">
        <f>INDEX($E$7:$E$47,MATCH(AH$60,$A$7:$A$47,0))</f>
        <v>18994</v>
      </c>
      <c r="AI73" s="20">
        <f>INDEX($E$7:$E$47,MATCH(AI$60,$A$7:$A$47,0))</f>
        <v>6.0026862605672748E-2</v>
      </c>
      <c r="AJ73" s="94"/>
      <c r="AK73" s="19">
        <f>INDEX($E$7:$E$47,MATCH(AK$60,$A$7:$A$47,0))</f>
        <v>193.2</v>
      </c>
      <c r="AL73" s="19">
        <f>INDEX($E$7:$E$47,MATCH(AL$60,$A$7:$A$47,0))</f>
        <v>20.399999999999999</v>
      </c>
      <c r="AM73" s="19">
        <f>INDEX($E$7:$E$47,MATCH(AM$60,$A$7:$A$47,0))</f>
        <v>111</v>
      </c>
      <c r="AO73" s="21">
        <f>INDEX($E$7:$E$47,MATCH(AO$60,$A$7:$A$47,0))</f>
        <v>26.5</v>
      </c>
      <c r="AP73" s="25">
        <f>INDEX($E$7:$E$47,MATCH(AP$60,$A$7:$A$47,0))</f>
        <v>2.64E-2</v>
      </c>
      <c r="AR73" s="4">
        <f>C73/(AL73*1000000)</f>
        <v>0.23039215686274508</v>
      </c>
      <c r="AS73" s="4">
        <f>C76/(AM73*1000000)</f>
        <v>2.7027027027027029E-2</v>
      </c>
      <c r="AU73" s="9">
        <v>0.3</v>
      </c>
      <c r="AV73" s="9">
        <v>0.6</v>
      </c>
    </row>
    <row r="74" spans="1:48" ht="12" customHeight="1" x14ac:dyDescent="0.2">
      <c r="A74" s="5" t="s">
        <v>6</v>
      </c>
      <c r="B74" s="5" t="s">
        <v>44</v>
      </c>
      <c r="C74" s="13">
        <f>$E$25</f>
        <v>1000000</v>
      </c>
      <c r="D74" s="43">
        <v>500000</v>
      </c>
      <c r="E74" s="37">
        <f t="shared" si="2"/>
        <v>-500000</v>
      </c>
      <c r="F74" s="4">
        <f t="shared" si="8"/>
        <v>-0.5</v>
      </c>
      <c r="G74" s="37">
        <f>C74*AA74</f>
        <v>1200</v>
      </c>
      <c r="H74" s="37">
        <f>D74*AA74</f>
        <v>600</v>
      </c>
      <c r="I74" s="37">
        <f t="shared" si="4"/>
        <v>-600</v>
      </c>
      <c r="J74" s="4">
        <f t="shared" si="5"/>
        <v>-0.5</v>
      </c>
      <c r="K74" s="37">
        <f>R74*(C74/1000)</f>
        <v>570</v>
      </c>
      <c r="L74" s="37">
        <f>R74*(D74/1000)</f>
        <v>285</v>
      </c>
      <c r="M74" s="37">
        <f t="shared" si="6"/>
        <v>-285</v>
      </c>
      <c r="N74" s="4">
        <f t="shared" si="9"/>
        <v>-0.5</v>
      </c>
      <c r="P74" s="33" t="s">
        <v>89</v>
      </c>
      <c r="Q74" s="37">
        <f>C74*0.5</f>
        <v>500000</v>
      </c>
      <c r="R74" s="35">
        <f>$E$26</f>
        <v>0.56999999999999995</v>
      </c>
      <c r="T74" s="35"/>
      <c r="AA74" s="90">
        <f>INDEX($E$7:$E$47,MATCH(AC$60,$A$7:$A$47,0))</f>
        <v>1.1999999999999999E-3</v>
      </c>
      <c r="AG74" s="98"/>
      <c r="AP74" s="16"/>
      <c r="AQ74" s="16"/>
      <c r="AR74" s="4"/>
      <c r="AS74" s="4"/>
      <c r="AU74" s="16"/>
    </row>
    <row r="75" spans="1:48" x14ac:dyDescent="0.2">
      <c r="A75" s="5" t="s">
        <v>6</v>
      </c>
      <c r="B75" s="5" t="s">
        <v>48</v>
      </c>
      <c r="C75" s="13">
        <f>$E$29</f>
        <v>700000</v>
      </c>
      <c r="D75" s="43">
        <v>5050000</v>
      </c>
      <c r="E75" s="37">
        <f t="shared" si="2"/>
        <v>4350000</v>
      </c>
      <c r="F75" s="4">
        <f t="shared" si="8"/>
        <v>6.2142857142857144</v>
      </c>
      <c r="G75" s="37">
        <f>C75*AA75+C75*AA75*AO73*AP73</f>
        <v>7019.348</v>
      </c>
      <c r="H75" s="37">
        <f>D75*AA75+D75*AA75*AO73*AP73</f>
        <v>50639.581999999995</v>
      </c>
      <c r="I75" s="37">
        <f t="shared" si="4"/>
        <v>43620.233999999997</v>
      </c>
      <c r="J75" s="4">
        <f t="shared" si="5"/>
        <v>6.2142857142857135</v>
      </c>
      <c r="K75" s="37">
        <f>R75*(C75/1000)</f>
        <v>3087</v>
      </c>
      <c r="L75" s="37">
        <f>R75*(D75/1000)</f>
        <v>22270.5</v>
      </c>
      <c r="M75" s="37">
        <f t="shared" si="6"/>
        <v>19183.5</v>
      </c>
      <c r="N75" s="4">
        <f t="shared" si="9"/>
        <v>6.2142857142857144</v>
      </c>
      <c r="P75" s="33" t="s">
        <v>89</v>
      </c>
      <c r="Q75" s="37">
        <f>C75*0.5</f>
        <v>350000</v>
      </c>
      <c r="R75" s="35">
        <f>$E$30</f>
        <v>4.41</v>
      </c>
      <c r="T75" s="35"/>
      <c r="AA75" s="90">
        <f>INDEX($E$7:$E$47,MATCH(AC$62,$A$7:$A$47,0))</f>
        <v>5.8999999999999999E-3</v>
      </c>
      <c r="AD75" s="95"/>
      <c r="AG75" s="98"/>
      <c r="AI75" s="9"/>
      <c r="AJ75" s="95"/>
      <c r="AP75" s="16"/>
      <c r="AQ75" s="16"/>
      <c r="AR75" s="4"/>
      <c r="AS75" s="4"/>
      <c r="AU75" s="16"/>
    </row>
    <row r="76" spans="1:48" x14ac:dyDescent="0.2">
      <c r="A76" s="5" t="s">
        <v>6</v>
      </c>
      <c r="B76" s="5" t="s">
        <v>52</v>
      </c>
      <c r="C76" s="13">
        <f>$E$33</f>
        <v>3000000</v>
      </c>
      <c r="D76" s="43">
        <v>1500000</v>
      </c>
      <c r="E76" s="37">
        <f t="shared" si="2"/>
        <v>-1500000</v>
      </c>
      <c r="F76" s="4">
        <f t="shared" si="8"/>
        <v>-0.5</v>
      </c>
      <c r="G76" s="37">
        <f>C76*AA76+C76*AA76*AO73*AP73</f>
        <v>2549.4</v>
      </c>
      <c r="H76" s="37">
        <f>D76*AA76+D76*AA76*AO73*AP73</f>
        <v>1274.7</v>
      </c>
      <c r="I76" s="37">
        <f t="shared" si="4"/>
        <v>-1274.7</v>
      </c>
      <c r="J76" s="4">
        <f t="shared" si="5"/>
        <v>-0.5</v>
      </c>
      <c r="K76" s="37">
        <f>R76*(C76/1000)</f>
        <v>1200</v>
      </c>
      <c r="L76" s="37">
        <f>R76*(D76/1000)</f>
        <v>600</v>
      </c>
      <c r="M76" s="37">
        <f t="shared" si="6"/>
        <v>-600</v>
      </c>
      <c r="N76" s="4">
        <f t="shared" si="9"/>
        <v>-0.5</v>
      </c>
      <c r="P76" s="33" t="s">
        <v>89</v>
      </c>
      <c r="Q76" s="37">
        <f>C76*0.5</f>
        <v>1500000</v>
      </c>
      <c r="R76" s="35">
        <f>$E$34</f>
        <v>0.4</v>
      </c>
      <c r="T76" s="35"/>
      <c r="AA76" s="90">
        <f>INDEX($E$7:$E$47,MATCH(AC$64,$A$7:$A$47,0))</f>
        <v>5.0000000000000001E-4</v>
      </c>
      <c r="AD76" s="95"/>
      <c r="AG76" s="98"/>
      <c r="AI76" s="9"/>
      <c r="AJ76" s="95"/>
      <c r="AP76" s="16"/>
      <c r="AQ76" s="16"/>
      <c r="AR76" s="4"/>
      <c r="AS76" s="4"/>
      <c r="AU76" s="16"/>
    </row>
    <row r="77" spans="1:48" x14ac:dyDescent="0.2">
      <c r="A77" s="18" t="str">
        <f>A78</f>
        <v>Philippines</v>
      </c>
      <c r="B77" s="22"/>
      <c r="C77" s="46">
        <f>SUM(C78:C80)</f>
        <v>12700000</v>
      </c>
      <c r="D77" s="54">
        <f>SUM(D78:D80)</f>
        <v>6350000</v>
      </c>
      <c r="E77" s="54">
        <f t="shared" si="2"/>
        <v>-6350000</v>
      </c>
      <c r="F77" s="23">
        <f t="shared" si="8"/>
        <v>-0.5</v>
      </c>
      <c r="G77" s="54">
        <f>SUM(G78:G80)</f>
        <v>37154.834400000007</v>
      </c>
      <c r="H77" s="54">
        <f>SUM(H78:H80)</f>
        <v>18577.417200000004</v>
      </c>
      <c r="I77" s="54">
        <f t="shared" si="4"/>
        <v>-18577.417200000004</v>
      </c>
      <c r="J77" s="23">
        <f t="shared" si="5"/>
        <v>-0.5</v>
      </c>
      <c r="K77" s="54">
        <f>SUM(K78:K80)</f>
        <v>18805</v>
      </c>
      <c r="L77" s="54">
        <f>SUM(L78:L80)</f>
        <v>9402.5</v>
      </c>
      <c r="M77" s="54">
        <f t="shared" si="6"/>
        <v>-9402.5</v>
      </c>
      <c r="N77" s="23">
        <f t="shared" si="9"/>
        <v>-0.5</v>
      </c>
      <c r="P77" s="32" t="s">
        <v>90</v>
      </c>
      <c r="Q77" s="37">
        <f>C77*1.5</f>
        <v>19050000</v>
      </c>
      <c r="AA77" s="91"/>
      <c r="AD77" s="94"/>
      <c r="AE77" s="19">
        <f>INDEX($F$7:$F$47,MATCH(AE$60,$A$7:$A$47,0))</f>
        <v>29.9</v>
      </c>
      <c r="AF77" s="19">
        <f>INDEX($F$7:$F$47,MATCH(AF$60,$A$7:$A$47,0))</f>
        <v>203907</v>
      </c>
      <c r="AG77" s="97">
        <f>AF77/(AE77*1000000)</f>
        <v>6.8196321070234118E-3</v>
      </c>
      <c r="AH77" s="19">
        <f>INDEX($F$7:$F$47,MATCH(AH$60,$A$7:$A$47,0))</f>
        <v>2204</v>
      </c>
      <c r="AI77" s="20">
        <f>INDEX($F$7:$F$47,MATCH(AI$60,$A$7:$A$47,0))</f>
        <v>1.0808849132202425E-2</v>
      </c>
      <c r="AJ77" s="94"/>
      <c r="AK77" s="19">
        <f>INDEX($F$7:$F$47,MATCH(AK$60,$A$7:$A$47,0))</f>
        <v>105.7</v>
      </c>
      <c r="AL77" s="19">
        <f>INDEX($F$7:$F$47,MATCH(AL$60,$A$7:$A$47,0))</f>
        <v>8.3000000000000007</v>
      </c>
      <c r="AM77" s="19">
        <f>INDEX($F$7:$F$47,MATCH(AM$60,$A$7:$A$47,0))</f>
        <v>94.2</v>
      </c>
      <c r="AO77" s="21">
        <f>INDEX($F$7:$F$47,MATCH(AO$60,$A$7:$A$47,0))</f>
        <v>32.4</v>
      </c>
      <c r="AP77" s="25">
        <f>INDEX($F$7:$F$47,MATCH(AP$60,$A$7:$A$47,0))</f>
        <v>1.8100000000000002E-2</v>
      </c>
      <c r="AR77" s="4">
        <f>C77/(AL77*1000000)</f>
        <v>1.5301204819277108</v>
      </c>
      <c r="AS77" s="4">
        <f>C80/(AM77*1000000)</f>
        <v>3.1847133757961783E-2</v>
      </c>
      <c r="AU77" s="9">
        <v>0.3</v>
      </c>
      <c r="AV77" s="9">
        <v>0.6</v>
      </c>
    </row>
    <row r="78" spans="1:48" x14ac:dyDescent="0.2">
      <c r="A78" s="5" t="s">
        <v>7</v>
      </c>
      <c r="B78" s="5" t="s">
        <v>44</v>
      </c>
      <c r="C78" s="13">
        <f>$F$25</f>
        <v>6000000</v>
      </c>
      <c r="D78" s="43">
        <v>3000000</v>
      </c>
      <c r="E78" s="37">
        <f t="shared" si="2"/>
        <v>-3000000</v>
      </c>
      <c r="F78" s="4">
        <f t="shared" si="8"/>
        <v>-0.5</v>
      </c>
      <c r="G78" s="37">
        <f>C78*AA78</f>
        <v>6600</v>
      </c>
      <c r="H78" s="37">
        <f>D78*AA78</f>
        <v>3300</v>
      </c>
      <c r="I78" s="37">
        <f t="shared" si="4"/>
        <v>-3300</v>
      </c>
      <c r="J78" s="4">
        <f t="shared" si="5"/>
        <v>-0.5</v>
      </c>
      <c r="K78" s="37">
        <f>R78*(C78/1000)</f>
        <v>3360.0000000000005</v>
      </c>
      <c r="L78" s="37">
        <f>R78*(D78/1000)</f>
        <v>1680.0000000000002</v>
      </c>
      <c r="M78" s="37">
        <f t="shared" si="6"/>
        <v>-1680.0000000000002</v>
      </c>
      <c r="N78" s="4">
        <f t="shared" si="9"/>
        <v>-0.5</v>
      </c>
      <c r="P78" s="33" t="s">
        <v>89</v>
      </c>
      <c r="Q78" s="37">
        <f>C78*0.5</f>
        <v>3000000</v>
      </c>
      <c r="R78" s="35">
        <f>$F$26</f>
        <v>0.56000000000000005</v>
      </c>
      <c r="T78" s="35"/>
      <c r="AA78" s="90">
        <f>INDEX($F$7:$F$47,MATCH(AC$60,$A$7:$A$47,0))</f>
        <v>1.1000000000000001E-3</v>
      </c>
      <c r="AG78" s="98"/>
      <c r="AP78" s="16"/>
      <c r="AQ78" s="16"/>
      <c r="AR78" s="4"/>
      <c r="AS78" s="4"/>
      <c r="AU78" s="16"/>
    </row>
    <row r="79" spans="1:48" x14ac:dyDescent="0.2">
      <c r="A79" s="5" t="s">
        <v>7</v>
      </c>
      <c r="B79" s="5" t="s">
        <v>48</v>
      </c>
      <c r="C79" s="13">
        <f>$F$29</f>
        <v>3700000</v>
      </c>
      <c r="D79" s="43">
        <v>1850000</v>
      </c>
      <c r="E79" s="37">
        <f t="shared" si="2"/>
        <v>-1850000</v>
      </c>
      <c r="F79" s="4">
        <f t="shared" si="8"/>
        <v>-0.5</v>
      </c>
      <c r="G79" s="37">
        <f>C79*AA79+C79*AA79*AO77*AP77</f>
        <v>28175.174400000004</v>
      </c>
      <c r="H79" s="37">
        <f>D79*AA79+D79*AA79*AO77*AP77</f>
        <v>14087.587200000002</v>
      </c>
      <c r="I79" s="37">
        <f t="shared" si="4"/>
        <v>-14087.587200000002</v>
      </c>
      <c r="J79" s="4">
        <f t="shared" si="5"/>
        <v>-0.5</v>
      </c>
      <c r="K79" s="37">
        <f>R79*(C79/1000)</f>
        <v>14245</v>
      </c>
      <c r="L79" s="37">
        <f>R79*(D79/1000)</f>
        <v>7122.5</v>
      </c>
      <c r="M79" s="37">
        <f t="shared" si="6"/>
        <v>-7122.5</v>
      </c>
      <c r="N79" s="4">
        <f t="shared" si="9"/>
        <v>-0.5</v>
      </c>
      <c r="P79" s="33" t="s">
        <v>89</v>
      </c>
      <c r="Q79" s="37">
        <f>C79*0.5</f>
        <v>1850000</v>
      </c>
      <c r="R79" s="35">
        <f>$F$30</f>
        <v>3.85</v>
      </c>
      <c r="T79" s="35"/>
      <c r="AA79" s="90">
        <f>INDEX($F$7:$F$47,MATCH(AC$62,$A$7:$A$47,0))</f>
        <v>4.7999999999999996E-3</v>
      </c>
      <c r="AG79" s="98"/>
      <c r="AP79" s="16"/>
      <c r="AQ79" s="16"/>
      <c r="AR79" s="4"/>
      <c r="AS79" s="4"/>
      <c r="AU79" s="16"/>
    </row>
    <row r="80" spans="1:48" x14ac:dyDescent="0.2">
      <c r="A80" s="5" t="s">
        <v>7</v>
      </c>
      <c r="B80" s="5" t="s">
        <v>52</v>
      </c>
      <c r="C80" s="13">
        <f>$F$33</f>
        <v>3000000</v>
      </c>
      <c r="D80" s="43">
        <v>1500000</v>
      </c>
      <c r="E80" s="37">
        <f t="shared" si="2"/>
        <v>-1500000</v>
      </c>
      <c r="F80" s="4">
        <f t="shared" si="8"/>
        <v>-0.5</v>
      </c>
      <c r="G80" s="37">
        <f>C80*AA80+C80*AA80*AO77*AP77</f>
        <v>2379.66</v>
      </c>
      <c r="H80" s="37">
        <f>D80*AA80+D80*AA80*AO77*AP77</f>
        <v>1189.83</v>
      </c>
      <c r="I80" s="37">
        <f t="shared" si="4"/>
        <v>-1189.83</v>
      </c>
      <c r="J80" s="4">
        <f t="shared" si="5"/>
        <v>-0.5</v>
      </c>
      <c r="K80" s="37">
        <f>R80*(C80/1000)</f>
        <v>1200</v>
      </c>
      <c r="L80" s="37">
        <f>R80*(D80/1000)</f>
        <v>600</v>
      </c>
      <c r="M80" s="37">
        <f t="shared" si="6"/>
        <v>-600</v>
      </c>
      <c r="N80" s="4">
        <f t="shared" si="9"/>
        <v>-0.5</v>
      </c>
      <c r="P80" s="33" t="s">
        <v>89</v>
      </c>
      <c r="Q80" s="37">
        <f>C80*0.5</f>
        <v>1500000</v>
      </c>
      <c r="R80" s="35">
        <f>$F$34</f>
        <v>0.4</v>
      </c>
      <c r="T80" s="35"/>
      <c r="AA80" s="90">
        <f>INDEX($F$7:$F$47,MATCH(AC$64,$A$7:$A$47,0))</f>
        <v>5.0000000000000001E-4</v>
      </c>
      <c r="AG80" s="98"/>
      <c r="AP80" s="16"/>
      <c r="AQ80" s="16"/>
      <c r="AR80" s="4"/>
      <c r="AS80" s="4"/>
      <c r="AU80" s="16"/>
    </row>
    <row r="81" spans="1:48" x14ac:dyDescent="0.2">
      <c r="A81" s="18" t="str">
        <f>A82</f>
        <v>Singapore</v>
      </c>
      <c r="B81" s="22"/>
      <c r="C81" s="46">
        <f>SUM(C82:C84)</f>
        <v>6350000</v>
      </c>
      <c r="D81" s="54">
        <f>SUM(D82:D84)</f>
        <v>2104999.4431504598</v>
      </c>
      <c r="E81" s="54">
        <f t="shared" si="2"/>
        <v>-4245000.5568495402</v>
      </c>
      <c r="F81" s="23">
        <f t="shared" si="8"/>
        <v>-0.66850402470071502</v>
      </c>
      <c r="G81" s="54">
        <f>SUM(G82:G84)</f>
        <v>10785.808199999999</v>
      </c>
      <c r="H81" s="54">
        <f>SUM(H82:H84)</f>
        <v>3373.44007661466</v>
      </c>
      <c r="I81" s="54">
        <f t="shared" si="4"/>
        <v>-7412.3681233853395</v>
      </c>
      <c r="J81" s="23">
        <f t="shared" si="5"/>
        <v>-0.68723344472093795</v>
      </c>
      <c r="K81" s="54">
        <f>SUM(K82:K84)</f>
        <v>10180</v>
      </c>
      <c r="L81" s="54">
        <f>SUM(L82:L84)</f>
        <v>3133.9997772601837</v>
      </c>
      <c r="M81" s="54">
        <f t="shared" si="6"/>
        <v>-7046.0002227398163</v>
      </c>
      <c r="N81" s="23">
        <f t="shared" si="9"/>
        <v>-0.69214147571118034</v>
      </c>
      <c r="P81" s="32" t="s">
        <v>90</v>
      </c>
      <c r="Q81" s="37">
        <f>C81*1.5</f>
        <v>9525000</v>
      </c>
      <c r="AA81" s="91"/>
      <c r="AD81" s="94"/>
      <c r="AE81" s="19">
        <f>INDEX($G$7:$G$47,MATCH(AE$60,$A$7:$A$47,0))</f>
        <v>2.9</v>
      </c>
      <c r="AF81" s="19">
        <f>INDEX($G$7:$G$47,MATCH(AF$60,$A$7:$A$47,0))</f>
        <v>15595</v>
      </c>
      <c r="AG81" s="97">
        <f>AF81/(AE81*1000000)</f>
        <v>5.3775862068965521E-3</v>
      </c>
      <c r="AH81" s="19">
        <f>INDEX($G$7:$G$47,MATCH(AH$60,$A$7:$A$47,0))</f>
        <v>1496</v>
      </c>
      <c r="AI81" s="20">
        <f>INDEX($G$7:$G$47,MATCH(AI$60,$A$7:$A$47,0))</f>
        <v>9.5928182109650525E-2</v>
      </c>
      <c r="AJ81" s="94"/>
      <c r="AK81" s="19">
        <f>INDEX($G$7:$G$47,MATCH(AK$60,$A$7:$A$47,0))</f>
        <v>5.5</v>
      </c>
      <c r="AL81" s="19">
        <f>INDEX($G$7:$G$47,MATCH(AL$60,$A$7:$A$47,0))</f>
        <v>3.2</v>
      </c>
      <c r="AM81" s="19">
        <f>INDEX($G$7:$G$47,MATCH(AM$60,$A$7:$A$47,0))</f>
        <v>7.8</v>
      </c>
      <c r="AO81" s="21">
        <f>INDEX($G$7:$G$47,MATCH(AO$60,$A$7:$A$47,0))</f>
        <v>20.6</v>
      </c>
      <c r="AP81" s="25">
        <f>INDEX($G$7:$G$47,MATCH(AP$60,$A$7:$A$47,0))</f>
        <v>1.83E-2</v>
      </c>
      <c r="AR81" s="4">
        <f>C81/(AL81*1000000)</f>
        <v>1.984375</v>
      </c>
      <c r="AS81" s="4">
        <f>C84/(AM81*1000000)</f>
        <v>0.38461538461538464</v>
      </c>
      <c r="AU81" s="9">
        <v>0.3</v>
      </c>
      <c r="AV81" s="9">
        <v>0.6</v>
      </c>
    </row>
    <row r="82" spans="1:48" x14ac:dyDescent="0.2">
      <c r="A82" s="5" t="s">
        <v>8</v>
      </c>
      <c r="B82" s="5" t="s">
        <v>44</v>
      </c>
      <c r="C82" s="13">
        <f>$G$25</f>
        <v>2000000</v>
      </c>
      <c r="D82" s="43">
        <v>600000</v>
      </c>
      <c r="E82" s="37">
        <f t="shared" si="2"/>
        <v>-1400000</v>
      </c>
      <c r="F82" s="4">
        <f t="shared" si="8"/>
        <v>-0.7</v>
      </c>
      <c r="G82" s="37">
        <f>C82*AA82</f>
        <v>2400</v>
      </c>
      <c r="H82" s="37">
        <f>D82*AA82</f>
        <v>719.99999999999989</v>
      </c>
      <c r="I82" s="37">
        <f t="shared" si="4"/>
        <v>-1680</v>
      </c>
      <c r="J82" s="4">
        <f t="shared" si="5"/>
        <v>-0.7</v>
      </c>
      <c r="K82" s="37">
        <f>R82*(C82/1000)</f>
        <v>1420</v>
      </c>
      <c r="L82" s="37">
        <f>R82*(D82/1000)</f>
        <v>426</v>
      </c>
      <c r="M82" s="37">
        <f t="shared" si="6"/>
        <v>-994</v>
      </c>
      <c r="N82" s="4">
        <f t="shared" si="9"/>
        <v>-0.7</v>
      </c>
      <c r="P82" s="33" t="s">
        <v>89</v>
      </c>
      <c r="Q82" s="37">
        <f>C82*0.3</f>
        <v>600000</v>
      </c>
      <c r="R82" s="35">
        <f>$G$26</f>
        <v>0.71</v>
      </c>
      <c r="T82" s="35"/>
      <c r="AA82" s="90">
        <f>INDEX($G$7:$G$47,MATCH(AC$60,$A$7:$A$47,0))</f>
        <v>1.1999999999999999E-3</v>
      </c>
    </row>
    <row r="83" spans="1:48" x14ac:dyDescent="0.2">
      <c r="A83" s="5" t="s">
        <v>8</v>
      </c>
      <c r="B83" s="5" t="s">
        <v>48</v>
      </c>
      <c r="C83" s="13">
        <f>$G$29</f>
        <v>1350000</v>
      </c>
      <c r="D83" s="43">
        <v>405000</v>
      </c>
      <c r="E83" s="37">
        <f t="shared" si="2"/>
        <v>-945000</v>
      </c>
      <c r="F83" s="4">
        <f t="shared" si="8"/>
        <v>-0.7</v>
      </c>
      <c r="G83" s="37">
        <f>C83*AA83+C83*AA83*AO81*AP81</f>
        <v>6320.3382000000001</v>
      </c>
      <c r="H83" s="37">
        <f>D83*AA83+D83*AA83*AO81*AP81</f>
        <v>1896.1014599999999</v>
      </c>
      <c r="I83" s="37">
        <f t="shared" si="4"/>
        <v>-4424.2367400000003</v>
      </c>
      <c r="J83" s="4">
        <f t="shared" si="5"/>
        <v>-0.70000000000000007</v>
      </c>
      <c r="K83" s="37">
        <f>R83*(C83/1000)</f>
        <v>7559.9999999999991</v>
      </c>
      <c r="L83" s="37">
        <f>R83*(D83/1000)</f>
        <v>2268</v>
      </c>
      <c r="M83" s="37">
        <f t="shared" si="6"/>
        <v>-5291.9999999999991</v>
      </c>
      <c r="N83" s="4">
        <f t="shared" si="9"/>
        <v>-0.7</v>
      </c>
      <c r="P83" s="33" t="s">
        <v>89</v>
      </c>
      <c r="Q83" s="37">
        <f>C83*0.3</f>
        <v>405000</v>
      </c>
      <c r="R83" s="35">
        <f>$G$30</f>
        <v>5.6</v>
      </c>
      <c r="T83" s="35"/>
      <c r="AA83" s="90">
        <f>INDEX($G$7:$G$47,MATCH(AC$62,$A$7:$A$47,0))</f>
        <v>3.3999999999999998E-3</v>
      </c>
    </row>
    <row r="84" spans="1:48" x14ac:dyDescent="0.2">
      <c r="A84" s="5" t="s">
        <v>8</v>
      </c>
      <c r="B84" s="5" t="s">
        <v>52</v>
      </c>
      <c r="C84" s="13">
        <f>$G$33</f>
        <v>3000000</v>
      </c>
      <c r="D84" s="43">
        <v>1099999.4431504596</v>
      </c>
      <c r="E84" s="37">
        <f t="shared" si="2"/>
        <v>-1900000.5568495404</v>
      </c>
      <c r="F84" s="4">
        <f t="shared" si="8"/>
        <v>-0.6333335189498468</v>
      </c>
      <c r="G84" s="37">
        <f>C84*AA84+C84*AA84*AO81*AP81</f>
        <v>2065.4700000000003</v>
      </c>
      <c r="H84" s="37">
        <f>D84*AA84+D84*AA84*AO81*AP81</f>
        <v>757.33861661465994</v>
      </c>
      <c r="I84" s="37">
        <f t="shared" si="4"/>
        <v>-1308.1313833853403</v>
      </c>
      <c r="J84" s="4">
        <f t="shared" si="5"/>
        <v>-0.6333335189498468</v>
      </c>
      <c r="K84" s="37">
        <f>R84*(C84/1000)</f>
        <v>1200</v>
      </c>
      <c r="L84" s="37">
        <f>R84*(D84/1000)</f>
        <v>439.99977726018381</v>
      </c>
      <c r="M84" s="37">
        <f t="shared" si="6"/>
        <v>-760.00022273981619</v>
      </c>
      <c r="N84" s="4">
        <f t="shared" si="9"/>
        <v>-0.6333335189498468</v>
      </c>
      <c r="P84" s="33" t="s">
        <v>89</v>
      </c>
      <c r="Q84" s="37">
        <f>C84*0.3</f>
        <v>900000</v>
      </c>
      <c r="R84" s="35">
        <f>$G$34</f>
        <v>0.4</v>
      </c>
      <c r="T84" s="104">
        <f>D84/D81</f>
        <v>0.52256519436610349</v>
      </c>
      <c r="U84" s="33" t="s">
        <v>89</v>
      </c>
      <c r="V84" s="4">
        <v>0.4</v>
      </c>
      <c r="AA84" s="90">
        <f>INDEX($G$7:$G$47,MATCH(AC$64,$A$7:$A$47,0))</f>
        <v>5.0000000000000001E-4</v>
      </c>
    </row>
    <row r="85" spans="1:48" x14ac:dyDescent="0.2">
      <c r="A85" s="146" t="s">
        <v>108</v>
      </c>
      <c r="B85" s="146"/>
      <c r="C85" s="46"/>
      <c r="D85" s="46"/>
      <c r="E85" s="46"/>
      <c r="F85" s="23"/>
      <c r="G85" s="46"/>
      <c r="H85" s="46"/>
      <c r="I85" s="46"/>
      <c r="J85" s="23"/>
      <c r="K85" s="54">
        <f>SUM(K81,K77,K73,K69,K65,K61)*0.09</f>
        <v>8556.84</v>
      </c>
      <c r="L85" s="54">
        <f>SUM(L81,L77,L73,L69,L65,L61)*0.09</f>
        <v>7668.0054928959316</v>
      </c>
      <c r="M85" s="54">
        <f>SUM(M81,M77,M73,M69,M65,M61)*0.09</f>
        <v>-888.83450710406805</v>
      </c>
      <c r="N85" s="23">
        <f t="shared" si="9"/>
        <v>-0.10387415297049706</v>
      </c>
      <c r="P85" s="33"/>
      <c r="R85" s="35"/>
      <c r="T85" s="35"/>
      <c r="AR85" s="4">
        <f>C86/(SUM(AL61:AL85)*1000000)</f>
        <v>0.54967197750702912</v>
      </c>
    </row>
    <row r="86" spans="1:48" x14ac:dyDescent="0.2">
      <c r="A86" s="146" t="s">
        <v>103</v>
      </c>
      <c r="B86" s="146"/>
      <c r="C86" s="46">
        <f>SUM(C81,C77,C73,C69,C65,C61)</f>
        <v>58650000</v>
      </c>
      <c r="D86" s="46">
        <f>SUM(D81,D77,D73,D69,D65,D61)</f>
        <v>50118976.241070449</v>
      </c>
      <c r="E86" s="46">
        <f>SUM(E81,E77,E73,E69,E65,E61)</f>
        <v>-8531023.7589295451</v>
      </c>
      <c r="F86" s="23">
        <f>E86/C86</f>
        <v>-0.14545650057850887</v>
      </c>
      <c r="G86" s="46">
        <f>SUM(G81,G77,G73,G69,G65,G61)</f>
        <v>131648.84370000003</v>
      </c>
      <c r="H86" s="46">
        <f>SUM(H81,H77,H73,H69,H65,H61)</f>
        <v>139772.13501064345</v>
      </c>
      <c r="I86" s="46">
        <f>SUM(I81,I77,I73,I69,I65,I61)</f>
        <v>8123.2913106434444</v>
      </c>
      <c r="J86" s="23">
        <f t="shared" si="5"/>
        <v>6.1704235922912576E-2</v>
      </c>
      <c r="K86" s="54">
        <f>SUM(K81,K77,K73,K69,K65,K61)*1.09</f>
        <v>103632.84000000001</v>
      </c>
      <c r="L86" s="54">
        <f>SUM(L82:L84,L78:L80,L74:L75,L76,L70:L72,L66:L68,L62:L64)*1.09</f>
        <v>92868.066525072951</v>
      </c>
      <c r="M86" s="46">
        <f>SUM(M81,M77,M73,M69,M65,M61)</f>
        <v>-9875.9389678229782</v>
      </c>
      <c r="N86" s="23">
        <f t="shared" si="9"/>
        <v>-9.5297388046327564E-2</v>
      </c>
      <c r="P86" s="50"/>
      <c r="Q86" s="50"/>
      <c r="R86" s="50"/>
      <c r="T86" s="50"/>
    </row>
    <row r="87" spans="1:48" x14ac:dyDescent="0.2">
      <c r="A87" s="45"/>
      <c r="B87" s="45"/>
      <c r="C87" s="13"/>
      <c r="D87" s="13"/>
      <c r="F87" s="13"/>
      <c r="G87" s="4"/>
      <c r="H87" s="13"/>
      <c r="I87" s="13"/>
      <c r="J87" s="13"/>
      <c r="K87" s="4"/>
    </row>
    <row r="88" spans="1:48" x14ac:dyDescent="0.2">
      <c r="A88" s="5"/>
      <c r="B88" s="5"/>
      <c r="AP88" s="4">
        <f>D61/(AL61*1000000)</f>
        <v>0.68569846087906894</v>
      </c>
      <c r="AR88" s="9">
        <v>0.35</v>
      </c>
    </row>
    <row r="89" spans="1:48" x14ac:dyDescent="0.2">
      <c r="A89" s="5"/>
      <c r="B89" s="5"/>
      <c r="AP89" s="4">
        <f>D65/(AL65*1000000)</f>
        <v>0.36928934010152287</v>
      </c>
      <c r="AR89" s="9">
        <v>0.35</v>
      </c>
    </row>
    <row r="90" spans="1:48" x14ac:dyDescent="0.2">
      <c r="AP90" s="4">
        <f>D69/(AL69*1000000)</f>
        <v>0.41233815456744266</v>
      </c>
      <c r="AR90" s="9">
        <v>0.35</v>
      </c>
    </row>
    <row r="91" spans="1:48" x14ac:dyDescent="0.2">
      <c r="AP91" s="4">
        <f>D73/(AL73*1000000)</f>
        <v>0.34558823529411764</v>
      </c>
      <c r="AR91" s="9">
        <v>0.35</v>
      </c>
    </row>
    <row r="92" spans="1:48" x14ac:dyDescent="0.2">
      <c r="AP92" s="4">
        <f>D77/(AL77*1000000)</f>
        <v>0.76506024096385539</v>
      </c>
      <c r="AR92" s="9">
        <v>0.35</v>
      </c>
    </row>
    <row r="93" spans="1:48" x14ac:dyDescent="0.2">
      <c r="AP93" s="4">
        <f>D81/(AL81*1000000)</f>
        <v>0.65781232598451866</v>
      </c>
      <c r="AR93" s="9">
        <v>0.35</v>
      </c>
    </row>
    <row r="101" spans="42:44" x14ac:dyDescent="0.2">
      <c r="AP101" s="4">
        <f>D61/(AL61*1000000)</f>
        <v>0.68569846087906894</v>
      </c>
      <c r="AR101" s="9">
        <v>0.75</v>
      </c>
    </row>
    <row r="102" spans="42:44" x14ac:dyDescent="0.2">
      <c r="AP102" s="4">
        <f>D65/(AL65*1000000)</f>
        <v>0.36928934010152287</v>
      </c>
      <c r="AR102" s="9">
        <v>0.75</v>
      </c>
    </row>
    <row r="103" spans="42:44" x14ac:dyDescent="0.2">
      <c r="AP103" s="4">
        <f>D69/(AL69*1000000)</f>
        <v>0.41233815456744266</v>
      </c>
      <c r="AR103" s="9">
        <v>0.75</v>
      </c>
    </row>
    <row r="104" spans="42:44" x14ac:dyDescent="0.2">
      <c r="AP104" s="4">
        <f>D73/(AL73*1000000)</f>
        <v>0.34558823529411764</v>
      </c>
      <c r="AR104" s="9">
        <v>0.75</v>
      </c>
    </row>
    <row r="105" spans="42:44" x14ac:dyDescent="0.2">
      <c r="AP105" s="4">
        <f>D77/(AL77*1000000)</f>
        <v>0.76506024096385539</v>
      </c>
      <c r="AR105" s="9">
        <v>0.75</v>
      </c>
    </row>
    <row r="106" spans="42:44" x14ac:dyDescent="0.2">
      <c r="AP106" s="4">
        <f>D81/(AL81*1000000)</f>
        <v>0.65781232598451866</v>
      </c>
      <c r="AR106" s="9">
        <v>0.75</v>
      </c>
    </row>
  </sheetData>
  <mergeCells count="11">
    <mergeCell ref="I33:K35"/>
    <mergeCell ref="I37:J37"/>
    <mergeCell ref="L44:L45"/>
    <mergeCell ref="C59:F59"/>
    <mergeCell ref="G59:J59"/>
    <mergeCell ref="K59:N59"/>
    <mergeCell ref="P59:R59"/>
    <mergeCell ref="X59:Y59"/>
    <mergeCell ref="A85:B85"/>
    <mergeCell ref="A86:B86"/>
    <mergeCell ref="T59:V59"/>
  </mergeCells>
  <conditionalFormatting sqref="G87 F86 K87 J86 E61:F84">
    <cfRule type="cellIs" dxfId="23" priority="6" operator="lessThan">
      <formula>0</formula>
    </cfRule>
  </conditionalFormatting>
  <conditionalFormatting sqref="I61:J84">
    <cfRule type="cellIs" dxfId="22" priority="5" operator="lessThan">
      <formula>0</formula>
    </cfRule>
  </conditionalFormatting>
  <conditionalFormatting sqref="N86">
    <cfRule type="cellIs" dxfId="21" priority="4" operator="lessThan">
      <formula>0</formula>
    </cfRule>
  </conditionalFormatting>
  <conditionalFormatting sqref="M61:N84">
    <cfRule type="cellIs" dxfId="20" priority="3" operator="lessThan">
      <formula>0</formula>
    </cfRule>
  </conditionalFormatting>
  <conditionalFormatting sqref="F85 J85">
    <cfRule type="cellIs" dxfId="19" priority="2" operator="lessThan">
      <formula>0</formula>
    </cfRule>
  </conditionalFormatting>
  <conditionalFormatting sqref="N85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9EBA-11B0-464A-8531-A4ECD36FDEB9}">
  <dimension ref="A2:AH90"/>
  <sheetViews>
    <sheetView showGridLines="0" topLeftCell="A49" zoomScale="60" zoomScaleNormal="60" workbookViewId="0">
      <selection activeCell="D86" sqref="D86"/>
    </sheetView>
  </sheetViews>
  <sheetFormatPr defaultRowHeight="12.75" x14ac:dyDescent="0.2"/>
  <cols>
    <col min="1" max="1" width="27.7109375" style="1" customWidth="1"/>
    <col min="2" max="8" width="12.7109375" style="1" customWidth="1"/>
    <col min="9" max="9" width="11.28515625" style="1" customWidth="1"/>
    <col min="10" max="10" width="11.85546875" style="1" customWidth="1"/>
    <col min="11" max="17" width="12.7109375" style="1" customWidth="1"/>
    <col min="18" max="18" width="16.42578125" style="1" customWidth="1"/>
    <col min="19" max="22" width="12.7109375" style="1" customWidth="1"/>
    <col min="23" max="23" width="12.42578125" style="1" customWidth="1"/>
    <col min="24" max="24" width="13.28515625" style="1" customWidth="1"/>
    <col min="25" max="25" width="14" style="1" customWidth="1"/>
    <col min="26" max="26" width="14.7109375" style="1" customWidth="1"/>
    <col min="27" max="31" width="9.140625" style="1"/>
    <col min="32" max="32" width="14.5703125" style="1" customWidth="1"/>
    <col min="33" max="16384" width="9.140625" style="1"/>
  </cols>
  <sheetData>
    <row r="2" spans="1:8" x14ac:dyDescent="0.2">
      <c r="A2" s="2" t="s">
        <v>74</v>
      </c>
      <c r="B2" s="1" t="s">
        <v>79</v>
      </c>
    </row>
    <row r="3" spans="1:8" x14ac:dyDescent="0.2">
      <c r="A3" s="2" t="s">
        <v>75</v>
      </c>
      <c r="B3" s="1" t="s">
        <v>78</v>
      </c>
    </row>
    <row r="4" spans="1:8" x14ac:dyDescent="0.2">
      <c r="A4" s="2"/>
    </row>
    <row r="5" spans="1:8" x14ac:dyDescent="0.2">
      <c r="A5" s="3" t="s">
        <v>1</v>
      </c>
      <c r="B5" s="3"/>
      <c r="C5" s="3"/>
      <c r="D5" s="3"/>
      <c r="E5" s="3"/>
      <c r="F5" s="3"/>
      <c r="G5" s="3"/>
      <c r="H5" s="3"/>
    </row>
    <row r="6" spans="1:8" x14ac:dyDescent="0.2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1:8" x14ac:dyDescent="0.2">
      <c r="A7" s="5" t="s">
        <v>9</v>
      </c>
      <c r="B7" s="11">
        <v>251.2</v>
      </c>
      <c r="C7" s="11">
        <v>49</v>
      </c>
      <c r="D7" s="11">
        <v>29.6</v>
      </c>
      <c r="E7" s="11">
        <v>193.2</v>
      </c>
      <c r="F7" s="11">
        <v>105.7</v>
      </c>
      <c r="G7" s="11">
        <v>5.5</v>
      </c>
    </row>
    <row r="8" spans="1:8" x14ac:dyDescent="0.2">
      <c r="A8" s="5" t="s">
        <v>10</v>
      </c>
      <c r="B8" s="12">
        <v>20</v>
      </c>
      <c r="C8" s="11">
        <v>39.4</v>
      </c>
      <c r="D8" s="11">
        <v>15.4</v>
      </c>
      <c r="E8" s="11">
        <v>20.399999999999999</v>
      </c>
      <c r="F8" s="11">
        <v>8.3000000000000007</v>
      </c>
      <c r="G8" s="11">
        <v>3.2</v>
      </c>
    </row>
    <row r="9" spans="1:8" x14ac:dyDescent="0.2">
      <c r="A9" s="5" t="s">
        <v>11</v>
      </c>
      <c r="B9" s="11">
        <v>248.8</v>
      </c>
      <c r="C9" s="11">
        <v>52.5</v>
      </c>
      <c r="D9" s="11">
        <v>36.700000000000003</v>
      </c>
      <c r="E9" s="12">
        <v>111</v>
      </c>
      <c r="F9" s="11">
        <v>94.2</v>
      </c>
      <c r="G9" s="11">
        <v>7.8</v>
      </c>
    </row>
    <row r="10" spans="1:8" x14ac:dyDescent="0.2">
      <c r="A10" s="5" t="s">
        <v>12</v>
      </c>
      <c r="B10" s="11">
        <v>51.1</v>
      </c>
      <c r="C10" s="12">
        <v>10</v>
      </c>
      <c r="D10" s="11">
        <v>13.6</v>
      </c>
      <c r="E10" s="12">
        <v>8</v>
      </c>
      <c r="F10" s="11">
        <v>29.9</v>
      </c>
      <c r="G10" s="11">
        <v>2.9</v>
      </c>
    </row>
    <row r="11" spans="1:8" x14ac:dyDescent="0.2">
      <c r="A11" s="5" t="s">
        <v>13</v>
      </c>
      <c r="E11" s="5" t="s">
        <v>14</v>
      </c>
    </row>
    <row r="12" spans="1:8" x14ac:dyDescent="0.2">
      <c r="B12" s="5"/>
      <c r="F12" s="5"/>
    </row>
    <row r="13" spans="1:8" x14ac:dyDescent="0.2">
      <c r="A13" s="3" t="s">
        <v>15</v>
      </c>
      <c r="B13" s="3"/>
      <c r="C13" s="3"/>
      <c r="D13" s="3"/>
      <c r="E13" s="3"/>
      <c r="F13" s="3"/>
      <c r="G13" s="3"/>
    </row>
    <row r="14" spans="1:8" x14ac:dyDescent="0.2">
      <c r="A14" s="5" t="s">
        <v>16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</row>
    <row r="15" spans="1:8" x14ac:dyDescent="0.2">
      <c r="A15" s="5" t="s">
        <v>23</v>
      </c>
      <c r="B15" s="13">
        <v>778144</v>
      </c>
      <c r="C15" s="13">
        <v>137801</v>
      </c>
      <c r="D15" s="13">
        <v>128410</v>
      </c>
      <c r="E15" s="13">
        <v>316425</v>
      </c>
      <c r="F15" s="13">
        <v>203907</v>
      </c>
      <c r="G15" s="13">
        <v>15595</v>
      </c>
    </row>
    <row r="16" spans="1:8" x14ac:dyDescent="0.2">
      <c r="A16" s="5" t="s">
        <v>24</v>
      </c>
      <c r="B16" s="13">
        <v>8009</v>
      </c>
      <c r="C16" s="13">
        <v>9361</v>
      </c>
      <c r="D16" s="13">
        <v>2932</v>
      </c>
      <c r="E16" s="13">
        <v>18994</v>
      </c>
      <c r="F16" s="13">
        <v>2204</v>
      </c>
      <c r="G16" s="13">
        <v>1496</v>
      </c>
    </row>
    <row r="17" spans="1:10" x14ac:dyDescent="0.2">
      <c r="A17" s="60" t="s">
        <v>25</v>
      </c>
      <c r="B17" s="61" t="s">
        <v>26</v>
      </c>
      <c r="C17" s="61" t="s">
        <v>27</v>
      </c>
      <c r="D17" s="61" t="s">
        <v>26</v>
      </c>
      <c r="E17" s="61" t="s">
        <v>26</v>
      </c>
      <c r="F17" s="61" t="s">
        <v>26</v>
      </c>
      <c r="G17" s="61" t="s">
        <v>26</v>
      </c>
    </row>
    <row r="18" spans="1:10" x14ac:dyDescent="0.2">
      <c r="A18" s="58" t="s">
        <v>86</v>
      </c>
      <c r="B18" s="59">
        <f>B16/B15</f>
        <v>1.0292439445655303E-2</v>
      </c>
      <c r="C18" s="59">
        <f t="shared" ref="C18" si="0">C16/C15</f>
        <v>6.7931292225745815E-2</v>
      </c>
      <c r="D18" s="59">
        <f>D16/D15</f>
        <v>2.2833112685927887E-2</v>
      </c>
      <c r="E18" s="59">
        <f>E16/E15</f>
        <v>6.0026862605672748E-2</v>
      </c>
      <c r="F18" s="59">
        <f>F16/F15</f>
        <v>1.0808849132202425E-2</v>
      </c>
      <c r="G18" s="59">
        <f>G16/G15</f>
        <v>9.5928182109650525E-2</v>
      </c>
    </row>
    <row r="19" spans="1:10" x14ac:dyDescent="0.2">
      <c r="A19" s="5" t="s">
        <v>32</v>
      </c>
    </row>
    <row r="20" spans="1:10" x14ac:dyDescent="0.2">
      <c r="A20" s="5"/>
    </row>
    <row r="21" spans="1:10" x14ac:dyDescent="0.2">
      <c r="A21" s="5" t="s">
        <v>35</v>
      </c>
      <c r="H21" s="5" t="s">
        <v>0</v>
      </c>
    </row>
    <row r="22" spans="1:10" x14ac:dyDescent="0.2">
      <c r="A22" s="3" t="s">
        <v>36</v>
      </c>
      <c r="B22" s="3"/>
      <c r="C22" s="3"/>
      <c r="D22" s="3"/>
      <c r="E22" s="3"/>
      <c r="F22" s="3"/>
      <c r="G22" s="3"/>
      <c r="H22" s="3"/>
    </row>
    <row r="23" spans="1:10" x14ac:dyDescent="0.2"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43</v>
      </c>
    </row>
    <row r="24" spans="1:10" x14ac:dyDescent="0.2">
      <c r="A24" s="5" t="s">
        <v>44</v>
      </c>
    </row>
    <row r="25" spans="1:10" x14ac:dyDescent="0.2">
      <c r="A25" s="5" t="s">
        <v>33</v>
      </c>
      <c r="B25" s="13">
        <v>6000000</v>
      </c>
      <c r="C25" s="13">
        <v>6000000</v>
      </c>
      <c r="D25" s="13">
        <v>6000000</v>
      </c>
      <c r="E25" s="13">
        <v>1000000</v>
      </c>
      <c r="F25" s="13">
        <v>6000000</v>
      </c>
      <c r="G25" s="13">
        <v>2000000</v>
      </c>
      <c r="H25" s="13">
        <v>27000000</v>
      </c>
    </row>
    <row r="26" spans="1:10" x14ac:dyDescent="0.2">
      <c r="A26" s="5" t="s">
        <v>46</v>
      </c>
      <c r="B26" s="14">
        <v>0.53</v>
      </c>
      <c r="C26" s="14">
        <v>0.88</v>
      </c>
      <c r="D26" s="14">
        <v>0.6</v>
      </c>
      <c r="E26" s="14">
        <v>0.56999999999999995</v>
      </c>
      <c r="F26" s="14">
        <v>0.56000000000000005</v>
      </c>
      <c r="G26" s="14">
        <v>0.71</v>
      </c>
      <c r="H26" s="14">
        <v>0.64</v>
      </c>
      <c r="J26" s="6"/>
    </row>
    <row r="27" spans="1:10" x14ac:dyDescent="0.2">
      <c r="A27" s="5" t="s">
        <v>47</v>
      </c>
      <c r="B27" s="15">
        <v>3180</v>
      </c>
      <c r="C27" s="15">
        <v>5280</v>
      </c>
      <c r="D27" s="15">
        <v>3600</v>
      </c>
      <c r="E27" s="15">
        <v>570</v>
      </c>
      <c r="F27" s="15">
        <v>3360</v>
      </c>
      <c r="G27" s="15">
        <v>1420</v>
      </c>
      <c r="H27" s="15">
        <v>17410</v>
      </c>
    </row>
    <row r="28" spans="1:10" x14ac:dyDescent="0.2">
      <c r="A28" s="5" t="s">
        <v>48</v>
      </c>
    </row>
    <row r="29" spans="1:10" x14ac:dyDescent="0.2">
      <c r="A29" s="5" t="s">
        <v>33</v>
      </c>
      <c r="B29" s="13">
        <v>3500000</v>
      </c>
      <c r="C29" s="13">
        <v>3700000</v>
      </c>
      <c r="D29" s="13">
        <v>3700000</v>
      </c>
      <c r="E29" s="13">
        <v>700000</v>
      </c>
      <c r="F29" s="13">
        <v>3700000</v>
      </c>
      <c r="G29" s="13">
        <v>1350000</v>
      </c>
      <c r="H29" s="13">
        <v>16650000</v>
      </c>
    </row>
    <row r="30" spans="1:10" x14ac:dyDescent="0.2">
      <c r="A30" s="5" t="s">
        <v>46</v>
      </c>
      <c r="B30" s="14">
        <v>4.41</v>
      </c>
      <c r="C30" s="14">
        <v>5.25</v>
      </c>
      <c r="D30" s="14">
        <v>3.22</v>
      </c>
      <c r="E30" s="14">
        <v>4.41</v>
      </c>
      <c r="F30" s="14">
        <v>3.85</v>
      </c>
      <c r="G30" s="14">
        <v>5.6</v>
      </c>
      <c r="H30" s="14">
        <v>4.3</v>
      </c>
    </row>
    <row r="31" spans="1:10" x14ac:dyDescent="0.2">
      <c r="A31" s="5" t="s">
        <v>47</v>
      </c>
      <c r="B31" s="15">
        <v>15435</v>
      </c>
      <c r="C31" s="15">
        <v>19425</v>
      </c>
      <c r="D31" s="15">
        <v>11914</v>
      </c>
      <c r="E31" s="15">
        <v>3087</v>
      </c>
      <c r="F31" s="15">
        <v>14245</v>
      </c>
      <c r="G31" s="15">
        <v>7560</v>
      </c>
      <c r="H31" s="15">
        <v>71666</v>
      </c>
    </row>
    <row r="32" spans="1:10" x14ac:dyDescent="0.2">
      <c r="A32" s="5" t="s">
        <v>52</v>
      </c>
    </row>
    <row r="33" spans="1:14" ht="12.75" customHeight="1" x14ac:dyDescent="0.2">
      <c r="A33" s="5" t="s">
        <v>33</v>
      </c>
      <c r="B33" s="13">
        <v>3000000</v>
      </c>
      <c r="C33" s="5" t="s">
        <v>34</v>
      </c>
      <c r="D33" s="13">
        <v>3000000</v>
      </c>
      <c r="E33" s="13">
        <v>3000000</v>
      </c>
      <c r="F33" s="13">
        <v>3000000</v>
      </c>
      <c r="G33" s="13">
        <v>3000000</v>
      </c>
      <c r="H33" s="13">
        <v>15000000</v>
      </c>
      <c r="I33" s="148" t="s">
        <v>84</v>
      </c>
      <c r="J33" s="148"/>
      <c r="K33" s="148"/>
      <c r="L33" s="29"/>
    </row>
    <row r="34" spans="1:14" x14ac:dyDescent="0.2">
      <c r="A34" s="5" t="s">
        <v>46</v>
      </c>
      <c r="B34" s="14">
        <v>0.4</v>
      </c>
      <c r="C34" s="5" t="s">
        <v>34</v>
      </c>
      <c r="D34" s="14">
        <v>0.4</v>
      </c>
      <c r="E34" s="14">
        <v>0.4</v>
      </c>
      <c r="F34" s="14">
        <v>0.4</v>
      </c>
      <c r="G34" s="14">
        <v>0.4</v>
      </c>
      <c r="H34" s="14">
        <v>0.4</v>
      </c>
      <c r="I34" s="148"/>
      <c r="J34" s="148"/>
      <c r="K34" s="148"/>
      <c r="L34" s="29"/>
    </row>
    <row r="35" spans="1:14" x14ac:dyDescent="0.2">
      <c r="A35" s="5" t="s">
        <v>47</v>
      </c>
      <c r="B35" s="15">
        <v>1200</v>
      </c>
      <c r="C35" s="5" t="s">
        <v>34</v>
      </c>
      <c r="D35" s="15">
        <v>1200</v>
      </c>
      <c r="E35" s="15">
        <v>1200</v>
      </c>
      <c r="F35" s="15">
        <v>1200</v>
      </c>
      <c r="G35" s="15">
        <v>1200</v>
      </c>
      <c r="H35" s="15">
        <v>6000</v>
      </c>
      <c r="I35" s="148"/>
      <c r="J35" s="148"/>
      <c r="K35" s="148"/>
      <c r="L35" s="29"/>
    </row>
    <row r="36" spans="1:14" ht="13.5" thickBot="1" x14ac:dyDescent="0.25">
      <c r="A36" s="5" t="s">
        <v>59</v>
      </c>
    </row>
    <row r="37" spans="1:14" x14ac:dyDescent="0.2">
      <c r="A37" s="5" t="s">
        <v>33</v>
      </c>
      <c r="B37" s="13">
        <v>12500000</v>
      </c>
      <c r="C37" s="13">
        <v>9700000</v>
      </c>
      <c r="D37" s="13">
        <v>12700000</v>
      </c>
      <c r="E37" s="13">
        <v>4700000</v>
      </c>
      <c r="F37" s="13">
        <v>12700000</v>
      </c>
      <c r="G37" s="13">
        <v>6350000</v>
      </c>
      <c r="H37" s="13">
        <v>58650000</v>
      </c>
      <c r="I37" s="149" t="s">
        <v>77</v>
      </c>
      <c r="J37" s="150"/>
    </row>
    <row r="38" spans="1:14" ht="13.5" thickBot="1" x14ac:dyDescent="0.25">
      <c r="A38" s="5" t="s">
        <v>47</v>
      </c>
      <c r="B38" s="15">
        <v>19815</v>
      </c>
      <c r="C38" s="15">
        <v>24705</v>
      </c>
      <c r="D38" s="15">
        <v>16714</v>
      </c>
      <c r="E38" s="15">
        <v>4857</v>
      </c>
      <c r="F38" s="15">
        <v>18805</v>
      </c>
      <c r="G38" s="15">
        <v>10180</v>
      </c>
      <c r="H38" s="15">
        <v>95076</v>
      </c>
      <c r="I38" s="40">
        <f>H38*1.09</f>
        <v>103632.84000000001</v>
      </c>
      <c r="J38" s="41"/>
    </row>
    <row r="40" spans="1:14" x14ac:dyDescent="0.2">
      <c r="A40" s="3" t="s">
        <v>76</v>
      </c>
      <c r="B40" s="3"/>
      <c r="C40" s="3"/>
      <c r="D40" s="3"/>
      <c r="E40" s="3"/>
      <c r="F40" s="3"/>
      <c r="G40" s="3"/>
    </row>
    <row r="41" spans="1:14" x14ac:dyDescent="0.2">
      <c r="D41" s="5"/>
    </row>
    <row r="42" spans="1:14" x14ac:dyDescent="0.2">
      <c r="A42" s="5" t="s">
        <v>62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</row>
    <row r="43" spans="1:14" ht="13.5" thickBot="1" x14ac:dyDescent="0.25">
      <c r="A43" s="5" t="s">
        <v>69</v>
      </c>
      <c r="B43" s="16">
        <v>8.9999999999999998E-4</v>
      </c>
      <c r="C43" s="16">
        <v>8.0000000000000004E-4</v>
      </c>
      <c r="D43" s="16">
        <v>1.1000000000000001E-3</v>
      </c>
      <c r="E43" s="16">
        <v>1.1999999999999999E-3</v>
      </c>
      <c r="F43" s="16">
        <v>1.1000000000000001E-3</v>
      </c>
      <c r="G43" s="16">
        <v>1.1999999999999999E-3</v>
      </c>
    </row>
    <row r="44" spans="1:14" ht="12.75" customHeight="1" x14ac:dyDescent="0.2">
      <c r="A44" s="5" t="s">
        <v>70</v>
      </c>
      <c r="B44" s="16">
        <v>4.3E-3</v>
      </c>
      <c r="C44" s="16">
        <v>2.3E-3</v>
      </c>
      <c r="D44" s="16">
        <v>3.2000000000000002E-3</v>
      </c>
      <c r="E44" s="16">
        <v>5.8999999999999999E-3</v>
      </c>
      <c r="F44" s="16">
        <v>4.7999999999999996E-3</v>
      </c>
      <c r="G44" s="16">
        <v>3.3999999999999998E-3</v>
      </c>
      <c r="L44" s="151" t="s">
        <v>83</v>
      </c>
      <c r="M44" s="7">
        <v>1.25</v>
      </c>
      <c r="N44" s="1" t="s">
        <v>87</v>
      </c>
    </row>
    <row r="45" spans="1:14" ht="13.5" thickBot="1" x14ac:dyDescent="0.25">
      <c r="A45" s="5" t="s">
        <v>71</v>
      </c>
      <c r="B45" s="11">
        <v>12.9</v>
      </c>
      <c r="C45" s="11">
        <v>41.1</v>
      </c>
      <c r="D45" s="11">
        <v>21.4</v>
      </c>
      <c r="E45" s="11">
        <v>26.5</v>
      </c>
      <c r="F45" s="11">
        <v>32.4</v>
      </c>
      <c r="G45" s="11">
        <v>20.6</v>
      </c>
      <c r="L45" s="152"/>
      <c r="M45" s="8">
        <v>0.75</v>
      </c>
      <c r="N45" s="1" t="s">
        <v>88</v>
      </c>
    </row>
    <row r="46" spans="1:14" x14ac:dyDescent="0.2">
      <c r="A46" s="5" t="s">
        <v>72</v>
      </c>
      <c r="B46" s="16">
        <v>1.9599999999999999E-2</v>
      </c>
      <c r="C46" s="16">
        <v>2.3900000000000001E-2</v>
      </c>
      <c r="D46" s="16">
        <v>1.8200000000000001E-2</v>
      </c>
      <c r="E46" s="16">
        <v>2.64E-2</v>
      </c>
      <c r="F46" s="16">
        <v>1.8100000000000002E-2</v>
      </c>
      <c r="G46" s="16">
        <v>1.83E-2</v>
      </c>
    </row>
    <row r="47" spans="1:14" x14ac:dyDescent="0.2">
      <c r="A47" s="5" t="s">
        <v>73</v>
      </c>
      <c r="B47" s="16">
        <v>5.0000000000000001E-4</v>
      </c>
      <c r="C47" s="16">
        <v>5.0000000000000001E-4</v>
      </c>
      <c r="D47" s="16">
        <v>5.0000000000000001E-4</v>
      </c>
      <c r="E47" s="16">
        <v>5.0000000000000001E-4</v>
      </c>
      <c r="F47" s="16">
        <v>5.0000000000000001E-4</v>
      </c>
      <c r="G47" s="16">
        <v>5.0000000000000001E-4</v>
      </c>
    </row>
    <row r="48" spans="1:14" x14ac:dyDescent="0.2">
      <c r="A48" s="5"/>
      <c r="B48" s="16"/>
      <c r="C48" s="16"/>
      <c r="D48" s="16"/>
      <c r="E48" s="16"/>
      <c r="F48" s="16"/>
      <c r="G48" s="16"/>
    </row>
    <row r="49" spans="1:34" x14ac:dyDescent="0.2">
      <c r="A49" s="5"/>
      <c r="B49" s="16"/>
      <c r="C49" s="16"/>
      <c r="D49" s="16"/>
      <c r="E49" s="16"/>
      <c r="F49" s="16"/>
      <c r="G49" s="16"/>
    </row>
    <row r="50" spans="1:34" x14ac:dyDescent="0.2">
      <c r="A50" s="38" t="s">
        <v>92</v>
      </c>
      <c r="B50" s="42">
        <f>SUM(H86)</f>
        <v>183486.23809999999</v>
      </c>
      <c r="C50" s="39" t="s">
        <v>91</v>
      </c>
      <c r="D50" s="39"/>
      <c r="E50" s="16"/>
      <c r="F50" s="16"/>
      <c r="L50" s="16"/>
    </row>
    <row r="51" spans="1:34" ht="13.5" thickBot="1" x14ac:dyDescent="0.25">
      <c r="A51" s="63"/>
      <c r="B51" s="64"/>
      <c r="C51" s="39"/>
      <c r="D51" s="39"/>
      <c r="E51" s="16"/>
      <c r="F51" s="16"/>
      <c r="L51" s="16"/>
    </row>
    <row r="52" spans="1:34" x14ac:dyDescent="0.2">
      <c r="A52" s="65" t="s">
        <v>109</v>
      </c>
      <c r="B52" s="66"/>
      <c r="C52" s="67"/>
      <c r="D52" s="67"/>
      <c r="E52" s="68"/>
      <c r="F52" s="69"/>
      <c r="L52" s="16"/>
    </row>
    <row r="53" spans="1:34" x14ac:dyDescent="0.2">
      <c r="A53" s="70"/>
      <c r="B53" s="64"/>
      <c r="C53" s="71"/>
      <c r="D53" s="71"/>
      <c r="E53" s="72"/>
      <c r="F53" s="73"/>
      <c r="L53" s="16"/>
    </row>
    <row r="54" spans="1:34" x14ac:dyDescent="0.2">
      <c r="A54" s="70"/>
      <c r="B54" s="64"/>
      <c r="C54" s="71"/>
      <c r="D54" s="71"/>
      <c r="E54" s="72"/>
      <c r="F54" s="73"/>
      <c r="L54" s="16"/>
    </row>
    <row r="55" spans="1:34" x14ac:dyDescent="0.2">
      <c r="A55" s="70"/>
      <c r="B55" s="64"/>
      <c r="C55" s="71"/>
      <c r="D55" s="71"/>
      <c r="E55" s="72"/>
      <c r="F55" s="73"/>
      <c r="L55" s="16"/>
    </row>
    <row r="56" spans="1:34" x14ac:dyDescent="0.2">
      <c r="A56" s="70"/>
      <c r="B56" s="64"/>
      <c r="C56" s="71"/>
      <c r="D56" s="71"/>
      <c r="E56" s="72"/>
      <c r="F56" s="73"/>
      <c r="L56" s="16"/>
    </row>
    <row r="57" spans="1:34" ht="13.5" thickBot="1" x14ac:dyDescent="0.25">
      <c r="A57" s="74"/>
      <c r="B57" s="75"/>
      <c r="C57" s="76"/>
      <c r="D57" s="76"/>
      <c r="E57" s="77"/>
      <c r="F57" s="78"/>
      <c r="L57" s="16"/>
    </row>
    <row r="58" spans="1:34" ht="13.5" thickBot="1" x14ac:dyDescent="0.25">
      <c r="A58" s="5"/>
      <c r="B58" s="16"/>
      <c r="C58" s="39" t="s">
        <v>93</v>
      </c>
      <c r="D58" s="39"/>
      <c r="E58" s="16"/>
      <c r="F58" s="16"/>
      <c r="R58" s="16"/>
      <c r="S58" s="16"/>
      <c r="AF58" s="31" t="s">
        <v>94</v>
      </c>
    </row>
    <row r="59" spans="1:34" ht="13.5" thickBot="1" x14ac:dyDescent="0.25">
      <c r="A59" s="50"/>
      <c r="B59" s="50"/>
      <c r="C59" s="158" t="s">
        <v>101</v>
      </c>
      <c r="D59" s="159"/>
      <c r="E59" s="159"/>
      <c r="F59" s="160"/>
      <c r="G59" s="158" t="s">
        <v>102</v>
      </c>
      <c r="H59" s="159"/>
      <c r="I59" s="159"/>
      <c r="J59" s="160"/>
      <c r="K59" s="158" t="s">
        <v>107</v>
      </c>
      <c r="L59" s="159"/>
      <c r="M59" s="159"/>
      <c r="N59" s="160"/>
      <c r="Q59" s="156" t="s">
        <v>110</v>
      </c>
      <c r="R59" s="157"/>
      <c r="W59" s="26">
        <f>AVERAGE(W73,W81,W77,W69,W65,W61)</f>
        <v>105.7</v>
      </c>
      <c r="X59" s="26">
        <f t="shared" ref="X59:AH59" si="1">AVERAGE(X73,X81,X77,X69,X65,X61)</f>
        <v>17.783333333333331</v>
      </c>
      <c r="Y59" s="26">
        <f t="shared" si="1"/>
        <v>91.833333333333329</v>
      </c>
      <c r="Z59" s="26">
        <f t="shared" si="1"/>
        <v>19.25</v>
      </c>
      <c r="AA59" s="26">
        <f t="shared" si="1"/>
        <v>263380.33333333331</v>
      </c>
      <c r="AB59" s="26">
        <f t="shared" si="1"/>
        <v>7166</v>
      </c>
      <c r="AC59" s="27">
        <f t="shared" si="1"/>
        <v>4.4636789700809115E-2</v>
      </c>
      <c r="AD59" s="28">
        <f t="shared" si="1"/>
        <v>1.0499999999999999E-3</v>
      </c>
      <c r="AE59" s="28">
        <f t="shared" si="1"/>
        <v>3.9833333333333327E-3</v>
      </c>
      <c r="AF59" s="26">
        <f t="shared" si="1"/>
        <v>25.816666666666666</v>
      </c>
      <c r="AG59" s="28">
        <f t="shared" si="1"/>
        <v>2.0750000000000005E-2</v>
      </c>
      <c r="AH59" s="28">
        <f t="shared" si="1"/>
        <v>5.0000000000000001E-4</v>
      </c>
    </row>
    <row r="60" spans="1:34" ht="26.25" thickBot="1" x14ac:dyDescent="0.25">
      <c r="A60" s="51" t="s">
        <v>85</v>
      </c>
      <c r="B60" s="62" t="s">
        <v>105</v>
      </c>
      <c r="C60" s="47" t="s">
        <v>97</v>
      </c>
      <c r="D60" s="48" t="s">
        <v>96</v>
      </c>
      <c r="E60" s="48" t="s">
        <v>99</v>
      </c>
      <c r="F60" s="49" t="s">
        <v>100</v>
      </c>
      <c r="G60" s="47" t="s">
        <v>97</v>
      </c>
      <c r="H60" s="48" t="s">
        <v>96</v>
      </c>
      <c r="I60" s="48" t="s">
        <v>99</v>
      </c>
      <c r="J60" s="49" t="s">
        <v>100</v>
      </c>
      <c r="K60" s="56" t="s">
        <v>97</v>
      </c>
      <c r="L60" s="57" t="s">
        <v>96</v>
      </c>
      <c r="M60" s="57" t="s">
        <v>99</v>
      </c>
      <c r="N60" s="52" t="s">
        <v>100</v>
      </c>
      <c r="Q60" s="44" t="s">
        <v>111</v>
      </c>
      <c r="R60" s="30" t="s">
        <v>112</v>
      </c>
      <c r="V60" s="55" t="s">
        <v>106</v>
      </c>
      <c r="W60" s="24" t="s">
        <v>9</v>
      </c>
      <c r="X60" s="24" t="s">
        <v>10</v>
      </c>
      <c r="Y60" s="24" t="s">
        <v>11</v>
      </c>
      <c r="Z60" s="24" t="s">
        <v>12</v>
      </c>
      <c r="AA60" s="24" t="s">
        <v>23</v>
      </c>
      <c r="AB60" s="24" t="s">
        <v>24</v>
      </c>
      <c r="AC60" s="24" t="s">
        <v>86</v>
      </c>
      <c r="AD60" s="24" t="s">
        <v>69</v>
      </c>
      <c r="AE60" s="24" t="s">
        <v>70</v>
      </c>
      <c r="AF60" s="24" t="s">
        <v>71</v>
      </c>
      <c r="AG60" s="24" t="s">
        <v>72</v>
      </c>
      <c r="AH60" s="24" t="s">
        <v>73</v>
      </c>
    </row>
    <row r="61" spans="1:34" x14ac:dyDescent="0.2">
      <c r="A61" s="18" t="s">
        <v>3</v>
      </c>
      <c r="B61" s="22"/>
      <c r="C61" s="46">
        <f>SUM(C62:C64)</f>
        <v>12500000</v>
      </c>
      <c r="D61" s="54">
        <f>SUM(D62:D64)</f>
        <v>0</v>
      </c>
      <c r="E61" s="54">
        <f t="shared" ref="E61:E84" si="2">IFERROR(D61-C61,0)</f>
        <v>-12500000</v>
      </c>
      <c r="F61" s="23">
        <f t="shared" ref="F61:F67" si="3">E61/C61</f>
        <v>-1</v>
      </c>
      <c r="G61" s="54">
        <f>SUM(G62:G64)</f>
        <v>21950</v>
      </c>
      <c r="H61" s="54">
        <f>SUM(H62:H64)</f>
        <v>0</v>
      </c>
      <c r="I61" s="54">
        <f>IFERROR(H61-G61,0)</f>
        <v>-21950</v>
      </c>
      <c r="J61" s="23">
        <f>I61/G61</f>
        <v>-1</v>
      </c>
      <c r="K61" s="54">
        <f>SUM(K62:K64)</f>
        <v>19815</v>
      </c>
      <c r="L61" s="54">
        <f>SUM(L62:L64)</f>
        <v>0</v>
      </c>
      <c r="M61" s="54">
        <f>IFERROR(L61-K61,0)</f>
        <v>-19815</v>
      </c>
      <c r="N61" s="23">
        <f>M61/K61</f>
        <v>-1</v>
      </c>
      <c r="Q61" s="32" t="s">
        <v>90</v>
      </c>
      <c r="R61" s="1">
        <f>C61*1.25</f>
        <v>15625000</v>
      </c>
      <c r="U61" s="31" t="s">
        <v>90</v>
      </c>
      <c r="V61" s="37">
        <v>95000</v>
      </c>
      <c r="W61" s="19">
        <f t="shared" ref="W61:AH61" si="4">INDEX($B$7:$B$47,MATCH(W$60,$A$7:$A$47,0))</f>
        <v>251.2</v>
      </c>
      <c r="X61" s="19">
        <f t="shared" si="4"/>
        <v>20</v>
      </c>
      <c r="Y61" s="19">
        <f t="shared" si="4"/>
        <v>248.8</v>
      </c>
      <c r="Z61" s="19">
        <f t="shared" si="4"/>
        <v>51.1</v>
      </c>
      <c r="AA61" s="19">
        <f t="shared" si="4"/>
        <v>778144</v>
      </c>
      <c r="AB61" s="19">
        <f t="shared" si="4"/>
        <v>8009</v>
      </c>
      <c r="AC61" s="20">
        <f t="shared" si="4"/>
        <v>1.0292439445655303E-2</v>
      </c>
      <c r="AD61" s="25">
        <f t="shared" si="4"/>
        <v>8.9999999999999998E-4</v>
      </c>
      <c r="AE61" s="25">
        <f t="shared" si="4"/>
        <v>4.3E-3</v>
      </c>
      <c r="AF61" s="21">
        <f t="shared" si="4"/>
        <v>12.9</v>
      </c>
      <c r="AG61" s="25">
        <f t="shared" si="4"/>
        <v>1.9599999999999999E-2</v>
      </c>
      <c r="AH61" s="25">
        <f t="shared" si="4"/>
        <v>5.0000000000000001E-4</v>
      </c>
    </row>
    <row r="62" spans="1:34" x14ac:dyDescent="0.2">
      <c r="A62" s="5" t="s">
        <v>3</v>
      </c>
      <c r="B62" s="5" t="s">
        <v>44</v>
      </c>
      <c r="C62" s="13">
        <f>$B$25</f>
        <v>6000000</v>
      </c>
      <c r="D62" s="43">
        <v>0</v>
      </c>
      <c r="E62" s="37">
        <f t="shared" si="2"/>
        <v>-6000000</v>
      </c>
      <c r="F62" s="4">
        <f t="shared" si="3"/>
        <v>-1</v>
      </c>
      <c r="G62" s="37">
        <f>C62*AD61</f>
        <v>5400</v>
      </c>
      <c r="H62" s="37">
        <f>D62*AD61</f>
        <v>0</v>
      </c>
      <c r="I62" s="37">
        <f t="shared" ref="I62:I84" si="5">IFERROR(H62-G62,0)</f>
        <v>-5400</v>
      </c>
      <c r="J62" s="4">
        <f t="shared" ref="J62:J86" si="6">I62/G62</f>
        <v>-1</v>
      </c>
      <c r="K62" s="37">
        <f>S62*(C62/1000)</f>
        <v>3180</v>
      </c>
      <c r="L62" s="37">
        <f>S62*(D62/1000)</f>
        <v>0</v>
      </c>
      <c r="M62" s="37">
        <f t="shared" ref="M62:M84" si="7">IFERROR(L62-K62,0)</f>
        <v>-3180</v>
      </c>
      <c r="N62" s="4">
        <f t="shared" ref="N62:N67" si="8">M62/K62</f>
        <v>-1</v>
      </c>
      <c r="Q62" s="33" t="s">
        <v>89</v>
      </c>
      <c r="R62" s="1">
        <f>C62*0.75</f>
        <v>4500000</v>
      </c>
      <c r="S62" s="34">
        <f>$B$26</f>
        <v>0.53</v>
      </c>
      <c r="AD62" s="16"/>
      <c r="AE62" s="16"/>
      <c r="AG62" s="16"/>
      <c r="AH62" s="16"/>
    </row>
    <row r="63" spans="1:34" x14ac:dyDescent="0.2">
      <c r="A63" s="5" t="s">
        <v>3</v>
      </c>
      <c r="B63" s="5" t="s">
        <v>48</v>
      </c>
      <c r="C63" s="13">
        <f>$B$29</f>
        <v>3500000</v>
      </c>
      <c r="D63" s="43">
        <v>0</v>
      </c>
      <c r="E63" s="37">
        <f t="shared" si="2"/>
        <v>-3500000</v>
      </c>
      <c r="F63" s="4">
        <f t="shared" si="3"/>
        <v>-1</v>
      </c>
      <c r="G63" s="37">
        <f>C63*AE61</f>
        <v>15050</v>
      </c>
      <c r="H63" s="37">
        <f>D63*AE61</f>
        <v>0</v>
      </c>
      <c r="I63" s="37">
        <f t="shared" si="5"/>
        <v>-15050</v>
      </c>
      <c r="J63" s="4">
        <f t="shared" si="6"/>
        <v>-1</v>
      </c>
      <c r="K63" s="37">
        <f t="shared" ref="K63:K64" si="9">S63*(C63/1000)</f>
        <v>15435</v>
      </c>
      <c r="L63" s="37">
        <f>S63*(D63/1000)</f>
        <v>0</v>
      </c>
      <c r="M63" s="37">
        <f t="shared" si="7"/>
        <v>-15435</v>
      </c>
      <c r="N63" s="4">
        <f t="shared" si="8"/>
        <v>-1</v>
      </c>
      <c r="Q63" s="33" t="s">
        <v>89</v>
      </c>
      <c r="R63" s="1">
        <f>C63*0.75</f>
        <v>2625000</v>
      </c>
      <c r="S63" s="34">
        <f>$B$30</f>
        <v>4.41</v>
      </c>
      <c r="AD63" s="16"/>
      <c r="AE63" s="16"/>
      <c r="AG63" s="16"/>
      <c r="AH63" s="16"/>
    </row>
    <row r="64" spans="1:34" x14ac:dyDescent="0.2">
      <c r="A64" s="5" t="s">
        <v>3</v>
      </c>
      <c r="B64" s="5" t="s">
        <v>52</v>
      </c>
      <c r="C64" s="13">
        <f>$B$33</f>
        <v>3000000</v>
      </c>
      <c r="D64" s="43">
        <v>0</v>
      </c>
      <c r="E64" s="37">
        <f t="shared" si="2"/>
        <v>-3000000</v>
      </c>
      <c r="F64" s="4">
        <f t="shared" si="3"/>
        <v>-1</v>
      </c>
      <c r="G64" s="37">
        <f>AH61*C64</f>
        <v>1500</v>
      </c>
      <c r="H64" s="37">
        <f>AH61*D64</f>
        <v>0</v>
      </c>
      <c r="I64" s="37">
        <f t="shared" si="5"/>
        <v>-1500</v>
      </c>
      <c r="J64" s="4">
        <f t="shared" si="6"/>
        <v>-1</v>
      </c>
      <c r="K64" s="37">
        <f t="shared" si="9"/>
        <v>1200</v>
      </c>
      <c r="L64" s="37">
        <f>S64*(D64/1000)</f>
        <v>0</v>
      </c>
      <c r="M64" s="37">
        <f t="shared" si="7"/>
        <v>-1200</v>
      </c>
      <c r="N64" s="4">
        <f t="shared" si="8"/>
        <v>-1</v>
      </c>
      <c r="Q64" s="33" t="s">
        <v>89</v>
      </c>
      <c r="R64" s="1">
        <f>C64*0.75</f>
        <v>2250000</v>
      </c>
      <c r="S64" s="34">
        <f>$B$34</f>
        <v>0.4</v>
      </c>
      <c r="AD64" s="16"/>
      <c r="AE64" s="16"/>
      <c r="AG64" s="16"/>
      <c r="AH64" s="16"/>
    </row>
    <row r="65" spans="1:34" x14ac:dyDescent="0.2">
      <c r="A65" s="18" t="s">
        <v>4</v>
      </c>
      <c r="B65" s="22"/>
      <c r="C65" s="46">
        <f>SUM(C66:C68)</f>
        <v>9700000</v>
      </c>
      <c r="D65" s="54">
        <f>SUM(D66:D68)</f>
        <v>1</v>
      </c>
      <c r="E65" s="54">
        <f t="shared" si="2"/>
        <v>-9699999</v>
      </c>
      <c r="F65" s="23">
        <f t="shared" si="3"/>
        <v>-0.99999989690721647</v>
      </c>
      <c r="G65" s="54">
        <f>SUM(G66:G68)</f>
        <v>13310</v>
      </c>
      <c r="H65" s="54">
        <f>SUM(H66:H68)</f>
        <v>5.0000000000000001E-4</v>
      </c>
      <c r="I65" s="54">
        <f t="shared" si="5"/>
        <v>-13309.9995</v>
      </c>
      <c r="J65" s="23">
        <f t="shared" si="6"/>
        <v>-0.99999996243425993</v>
      </c>
      <c r="K65" s="54">
        <f>SUM(K66:K68)</f>
        <v>24705</v>
      </c>
      <c r="L65" s="54">
        <f>SUM(L66:L68)</f>
        <v>4.0000000000000002E-4</v>
      </c>
      <c r="M65" s="54">
        <f t="shared" si="7"/>
        <v>-24704.999599999999</v>
      </c>
      <c r="N65" s="23">
        <f t="shared" si="8"/>
        <v>-0.9999999838089455</v>
      </c>
      <c r="Q65" s="32" t="s">
        <v>90</v>
      </c>
      <c r="R65" s="1">
        <f>C65*1.25</f>
        <v>12125000</v>
      </c>
      <c r="W65" s="19">
        <f t="shared" ref="W65:AH65" si="10">INDEX($C$7:$C$47,MATCH(W$60,$A$7:$A$47,0))</f>
        <v>49</v>
      </c>
      <c r="X65" s="19">
        <f t="shared" si="10"/>
        <v>39.4</v>
      </c>
      <c r="Y65" s="19">
        <f t="shared" si="10"/>
        <v>52.5</v>
      </c>
      <c r="Z65" s="19">
        <f t="shared" si="10"/>
        <v>10</v>
      </c>
      <c r="AA65" s="19">
        <f t="shared" si="10"/>
        <v>137801</v>
      </c>
      <c r="AB65" s="19">
        <f t="shared" si="10"/>
        <v>9361</v>
      </c>
      <c r="AC65" s="20">
        <f t="shared" si="10"/>
        <v>6.7931292225745815E-2</v>
      </c>
      <c r="AD65" s="25">
        <f t="shared" si="10"/>
        <v>8.0000000000000004E-4</v>
      </c>
      <c r="AE65" s="25">
        <f t="shared" si="10"/>
        <v>2.3E-3</v>
      </c>
      <c r="AF65" s="21">
        <f t="shared" si="10"/>
        <v>41.1</v>
      </c>
      <c r="AG65" s="25">
        <f t="shared" si="10"/>
        <v>2.3900000000000001E-2</v>
      </c>
      <c r="AH65" s="25">
        <f t="shared" si="10"/>
        <v>5.0000000000000001E-4</v>
      </c>
    </row>
    <row r="66" spans="1:34" x14ac:dyDescent="0.2">
      <c r="A66" s="5" t="s">
        <v>4</v>
      </c>
      <c r="B66" s="5" t="s">
        <v>44</v>
      </c>
      <c r="C66" s="13">
        <f>$C$25</f>
        <v>6000000</v>
      </c>
      <c r="D66" s="43">
        <v>0</v>
      </c>
      <c r="E66" s="37">
        <f t="shared" si="2"/>
        <v>-6000000</v>
      </c>
      <c r="F66" s="4">
        <f t="shared" si="3"/>
        <v>-1</v>
      </c>
      <c r="G66" s="37">
        <f>C66*AD65</f>
        <v>4800</v>
      </c>
      <c r="H66" s="37">
        <f>D66*AD65</f>
        <v>0</v>
      </c>
      <c r="I66" s="37">
        <f t="shared" si="5"/>
        <v>-4800</v>
      </c>
      <c r="J66" s="4">
        <f t="shared" si="6"/>
        <v>-1</v>
      </c>
      <c r="K66" s="37">
        <f>S66*(C66/1000)</f>
        <v>5280</v>
      </c>
      <c r="L66" s="37">
        <f>S66*(D66/1000)</f>
        <v>0</v>
      </c>
      <c r="M66" s="37">
        <f t="shared" si="7"/>
        <v>-5280</v>
      </c>
      <c r="N66" s="4">
        <f t="shared" si="8"/>
        <v>-1</v>
      </c>
      <c r="Q66" s="33" t="s">
        <v>89</v>
      </c>
      <c r="R66" s="1">
        <f>C66*0.75</f>
        <v>4500000</v>
      </c>
      <c r="S66" s="35">
        <f>$C$26</f>
        <v>0.88</v>
      </c>
      <c r="AD66" s="16"/>
      <c r="AE66" s="16"/>
      <c r="AG66" s="16"/>
      <c r="AH66" s="16"/>
    </row>
    <row r="67" spans="1:34" x14ac:dyDescent="0.2">
      <c r="A67" s="5" t="s">
        <v>4</v>
      </c>
      <c r="B67" s="5" t="s">
        <v>48</v>
      </c>
      <c r="C67" s="13">
        <f>$C$29</f>
        <v>3700000</v>
      </c>
      <c r="D67" s="43">
        <v>0</v>
      </c>
      <c r="E67" s="37">
        <f t="shared" si="2"/>
        <v>-3700000</v>
      </c>
      <c r="F67" s="4">
        <f t="shared" si="3"/>
        <v>-1</v>
      </c>
      <c r="G67" s="37">
        <f>C67*AE65</f>
        <v>8510</v>
      </c>
      <c r="H67" s="37">
        <f>D67*AE65</f>
        <v>0</v>
      </c>
      <c r="I67" s="37">
        <f t="shared" si="5"/>
        <v>-8510</v>
      </c>
      <c r="J67" s="4">
        <f t="shared" si="6"/>
        <v>-1</v>
      </c>
      <c r="K67" s="37">
        <f t="shared" ref="K67:K68" si="11">S67*(C67/1000)</f>
        <v>19425</v>
      </c>
      <c r="L67" s="37">
        <f>S67*(D67/1000)</f>
        <v>0</v>
      </c>
      <c r="M67" s="37">
        <f t="shared" si="7"/>
        <v>-19425</v>
      </c>
      <c r="N67" s="4">
        <f t="shared" si="8"/>
        <v>-1</v>
      </c>
      <c r="Q67" s="33" t="s">
        <v>89</v>
      </c>
      <c r="R67" s="1">
        <f>C67*0.75</f>
        <v>2775000</v>
      </c>
      <c r="S67" s="35">
        <f>$C$30</f>
        <v>5.25</v>
      </c>
      <c r="AD67" s="16"/>
      <c r="AE67" s="16"/>
      <c r="AG67" s="16"/>
      <c r="AH67" s="16"/>
    </row>
    <row r="68" spans="1:34" x14ac:dyDescent="0.2">
      <c r="A68" s="5" t="s">
        <v>4</v>
      </c>
      <c r="B68" s="5" t="s">
        <v>52</v>
      </c>
      <c r="C68" s="13">
        <v>0</v>
      </c>
      <c r="D68" s="43">
        <v>1</v>
      </c>
      <c r="E68" s="37">
        <f t="shared" si="2"/>
        <v>1</v>
      </c>
      <c r="F68" s="4"/>
      <c r="G68" s="37">
        <f>AH65*C68</f>
        <v>0</v>
      </c>
      <c r="H68" s="37">
        <f>AH65*D68</f>
        <v>5.0000000000000001E-4</v>
      </c>
      <c r="I68" s="37">
        <f t="shared" si="5"/>
        <v>5.0000000000000001E-4</v>
      </c>
      <c r="J68" s="4"/>
      <c r="K68" s="37">
        <f t="shared" si="11"/>
        <v>0</v>
      </c>
      <c r="L68" s="37">
        <f>S68*(D68/1000)</f>
        <v>4.0000000000000002E-4</v>
      </c>
      <c r="M68" s="37">
        <f t="shared" si="7"/>
        <v>4.0000000000000002E-4</v>
      </c>
      <c r="N68" s="4"/>
      <c r="Q68" s="33" t="s">
        <v>89</v>
      </c>
      <c r="R68" s="1">
        <v>0</v>
      </c>
      <c r="S68" s="36">
        <f>S64</f>
        <v>0.4</v>
      </c>
      <c r="AD68" s="16"/>
      <c r="AE68" s="16"/>
      <c r="AG68" s="16"/>
      <c r="AH68" s="16"/>
    </row>
    <row r="69" spans="1:34" x14ac:dyDescent="0.2">
      <c r="A69" s="18" t="s">
        <v>5</v>
      </c>
      <c r="B69" s="22"/>
      <c r="C69" s="46">
        <f>SUM(C70:C72)</f>
        <v>12700000</v>
      </c>
      <c r="D69" s="54">
        <f>SUM(D70:D72)</f>
        <v>0</v>
      </c>
      <c r="E69" s="54">
        <f t="shared" si="2"/>
        <v>-12700000</v>
      </c>
      <c r="F69" s="23">
        <f t="shared" ref="F69:F84" si="12">E69/C69</f>
        <v>-1</v>
      </c>
      <c r="G69" s="54">
        <f>SUM(G70:G72)</f>
        <v>19940</v>
      </c>
      <c r="H69" s="54">
        <f>SUM(H70:H72)</f>
        <v>0</v>
      </c>
      <c r="I69" s="54">
        <f t="shared" si="5"/>
        <v>-19940</v>
      </c>
      <c r="J69" s="23">
        <f t="shared" si="6"/>
        <v>-1</v>
      </c>
      <c r="K69" s="54">
        <f>SUM(K70:K72)</f>
        <v>16714</v>
      </c>
      <c r="L69" s="54">
        <f>SUM(L70:L72)</f>
        <v>0</v>
      </c>
      <c r="M69" s="54">
        <f t="shared" si="7"/>
        <v>-16714</v>
      </c>
      <c r="N69" s="23">
        <f t="shared" ref="N69:N86" si="13">M69/K69</f>
        <v>-1</v>
      </c>
      <c r="Q69" s="32" t="s">
        <v>90</v>
      </c>
      <c r="R69" s="1">
        <f>C69*1.25</f>
        <v>15875000</v>
      </c>
      <c r="W69" s="19">
        <f t="shared" ref="W69:AH69" si="14">INDEX($D$7:$D$47,MATCH(W$60,$A$7:$A$47,0))</f>
        <v>29.6</v>
      </c>
      <c r="X69" s="19">
        <f t="shared" si="14"/>
        <v>15.4</v>
      </c>
      <c r="Y69" s="19">
        <f t="shared" si="14"/>
        <v>36.700000000000003</v>
      </c>
      <c r="Z69" s="19">
        <f t="shared" si="14"/>
        <v>13.6</v>
      </c>
      <c r="AA69" s="19">
        <f t="shared" si="14"/>
        <v>128410</v>
      </c>
      <c r="AB69" s="19">
        <f t="shared" si="14"/>
        <v>2932</v>
      </c>
      <c r="AC69" s="20">
        <f t="shared" si="14"/>
        <v>2.2833112685927887E-2</v>
      </c>
      <c r="AD69" s="25">
        <f t="shared" si="14"/>
        <v>1.1000000000000001E-3</v>
      </c>
      <c r="AE69" s="25">
        <f t="shared" si="14"/>
        <v>3.2000000000000002E-3</v>
      </c>
      <c r="AF69" s="21">
        <f t="shared" si="14"/>
        <v>21.4</v>
      </c>
      <c r="AG69" s="25">
        <f t="shared" si="14"/>
        <v>1.8200000000000001E-2</v>
      </c>
      <c r="AH69" s="25">
        <f t="shared" si="14"/>
        <v>5.0000000000000001E-4</v>
      </c>
    </row>
    <row r="70" spans="1:34" x14ac:dyDescent="0.2">
      <c r="A70" s="5" t="s">
        <v>5</v>
      </c>
      <c r="B70" s="5" t="s">
        <v>44</v>
      </c>
      <c r="C70" s="13">
        <f>$D$25</f>
        <v>6000000</v>
      </c>
      <c r="D70" s="43">
        <v>0</v>
      </c>
      <c r="E70" s="37">
        <f t="shared" si="2"/>
        <v>-6000000</v>
      </c>
      <c r="F70" s="4">
        <f t="shared" si="12"/>
        <v>-1</v>
      </c>
      <c r="G70" s="37">
        <f>C70*AD69</f>
        <v>6600</v>
      </c>
      <c r="H70" s="37">
        <f>D70*AD69</f>
        <v>0</v>
      </c>
      <c r="I70" s="37">
        <f t="shared" si="5"/>
        <v>-6600</v>
      </c>
      <c r="J70" s="4">
        <f t="shared" si="6"/>
        <v>-1</v>
      </c>
      <c r="K70" s="37">
        <f>S70*(C70/1000)</f>
        <v>3600</v>
      </c>
      <c r="L70" s="37">
        <f>S70*(D70/1000)</f>
        <v>0</v>
      </c>
      <c r="M70" s="37">
        <f t="shared" si="7"/>
        <v>-3600</v>
      </c>
      <c r="N70" s="4">
        <f t="shared" si="13"/>
        <v>-1</v>
      </c>
      <c r="Q70" s="33" t="s">
        <v>89</v>
      </c>
      <c r="R70" s="1">
        <f>C70*0.75</f>
        <v>4500000</v>
      </c>
      <c r="S70" s="35">
        <f>$D$26</f>
        <v>0.6</v>
      </c>
      <c r="AD70" s="16"/>
      <c r="AE70" s="16"/>
      <c r="AG70" s="16"/>
      <c r="AH70" s="16"/>
    </row>
    <row r="71" spans="1:34" x14ac:dyDescent="0.2">
      <c r="A71" s="5" t="s">
        <v>5</v>
      </c>
      <c r="B71" s="5" t="s">
        <v>48</v>
      </c>
      <c r="C71" s="13">
        <f>$D$29</f>
        <v>3700000</v>
      </c>
      <c r="D71" s="43">
        <v>0</v>
      </c>
      <c r="E71" s="37">
        <f t="shared" si="2"/>
        <v>-3700000</v>
      </c>
      <c r="F71" s="4">
        <f t="shared" si="12"/>
        <v>-1</v>
      </c>
      <c r="G71" s="37">
        <f>C71*AE69</f>
        <v>11840</v>
      </c>
      <c r="H71" s="37">
        <f>D71*AE69</f>
        <v>0</v>
      </c>
      <c r="I71" s="37">
        <f t="shared" si="5"/>
        <v>-11840</v>
      </c>
      <c r="J71" s="4">
        <f t="shared" si="6"/>
        <v>-1</v>
      </c>
      <c r="K71" s="37">
        <f t="shared" ref="K71:K72" si="15">S71*(C71/1000)</f>
        <v>11914</v>
      </c>
      <c r="L71" s="37">
        <f>S71*(D71/1000)</f>
        <v>0</v>
      </c>
      <c r="M71" s="37">
        <f t="shared" si="7"/>
        <v>-11914</v>
      </c>
      <c r="N71" s="4">
        <f t="shared" si="13"/>
        <v>-1</v>
      </c>
      <c r="Q71" s="33" t="s">
        <v>89</v>
      </c>
      <c r="R71" s="1">
        <f>C71*0.75</f>
        <v>2775000</v>
      </c>
      <c r="S71" s="35">
        <f>$D$30</f>
        <v>3.22</v>
      </c>
      <c r="AD71" s="16"/>
      <c r="AE71" s="16"/>
      <c r="AG71" s="16"/>
      <c r="AH71" s="16"/>
    </row>
    <row r="72" spans="1:34" x14ac:dyDescent="0.2">
      <c r="A72" s="5" t="s">
        <v>5</v>
      </c>
      <c r="B72" s="5" t="s">
        <v>52</v>
      </c>
      <c r="C72" s="13">
        <f>$D$33</f>
        <v>3000000</v>
      </c>
      <c r="D72" s="43">
        <v>0</v>
      </c>
      <c r="E72" s="37">
        <f t="shared" si="2"/>
        <v>-3000000</v>
      </c>
      <c r="F72" s="4">
        <f t="shared" si="12"/>
        <v>-1</v>
      </c>
      <c r="G72" s="37">
        <f>AH69*C72</f>
        <v>1500</v>
      </c>
      <c r="H72" s="37">
        <f>AH69*D72</f>
        <v>0</v>
      </c>
      <c r="I72" s="37">
        <f t="shared" si="5"/>
        <v>-1500</v>
      </c>
      <c r="J72" s="4">
        <f t="shared" si="6"/>
        <v>-1</v>
      </c>
      <c r="K72" s="37">
        <f t="shared" si="15"/>
        <v>1200</v>
      </c>
      <c r="L72" s="37">
        <f>S72*(D72/1000)</f>
        <v>0</v>
      </c>
      <c r="M72" s="37">
        <f t="shared" si="7"/>
        <v>-1200</v>
      </c>
      <c r="N72" s="4">
        <f t="shared" si="13"/>
        <v>-1</v>
      </c>
      <c r="Q72" s="33" t="s">
        <v>89</v>
      </c>
      <c r="R72" s="1">
        <f>C72*0.75</f>
        <v>2250000</v>
      </c>
      <c r="S72" s="35">
        <f>$D$34</f>
        <v>0.4</v>
      </c>
      <c r="AD72" s="16"/>
      <c r="AE72" s="16"/>
      <c r="AG72" s="16"/>
      <c r="AH72" s="16"/>
    </row>
    <row r="73" spans="1:34" x14ac:dyDescent="0.2">
      <c r="A73" s="18" t="str">
        <f>A74</f>
        <v>Pakistan</v>
      </c>
      <c r="B73" s="22"/>
      <c r="C73" s="46">
        <f>SUM(C74:C76)</f>
        <v>4700000</v>
      </c>
      <c r="D73" s="54">
        <f>SUM(D74:D76)</f>
        <v>152905198</v>
      </c>
      <c r="E73" s="54">
        <f t="shared" si="2"/>
        <v>148205198</v>
      </c>
      <c r="F73" s="23">
        <f t="shared" si="12"/>
        <v>31.533020851063831</v>
      </c>
      <c r="G73" s="54">
        <f>SUM(G74:G76)</f>
        <v>6830</v>
      </c>
      <c r="H73" s="54">
        <f>SUM(H74:H76)</f>
        <v>183486.23759999999</v>
      </c>
      <c r="I73" s="54">
        <f t="shared" si="5"/>
        <v>176656.23759999999</v>
      </c>
      <c r="J73" s="23">
        <f t="shared" si="6"/>
        <v>25.864749282576867</v>
      </c>
      <c r="K73" s="54">
        <f>SUM(K74:K76)</f>
        <v>4857</v>
      </c>
      <c r="L73" s="54">
        <f>SUM(L74:L76)</f>
        <v>87155.96286</v>
      </c>
      <c r="M73" s="54">
        <f t="shared" si="7"/>
        <v>82298.96286</v>
      </c>
      <c r="N73" s="23">
        <f t="shared" si="13"/>
        <v>16.944402483014205</v>
      </c>
      <c r="Q73" s="32" t="s">
        <v>90</v>
      </c>
      <c r="R73" s="1">
        <f>C73*1.25</f>
        <v>5875000</v>
      </c>
      <c r="W73" s="19">
        <f t="shared" ref="W73:AH73" si="16">INDEX($E$7:$E$47,MATCH(W$60,$A$7:$A$47,0))</f>
        <v>193.2</v>
      </c>
      <c r="X73" s="19">
        <f t="shared" si="16"/>
        <v>20.399999999999999</v>
      </c>
      <c r="Y73" s="19">
        <f t="shared" si="16"/>
        <v>111</v>
      </c>
      <c r="Z73" s="19">
        <f t="shared" si="16"/>
        <v>8</v>
      </c>
      <c r="AA73" s="19">
        <f t="shared" si="16"/>
        <v>316425</v>
      </c>
      <c r="AB73" s="19">
        <f t="shared" si="16"/>
        <v>18994</v>
      </c>
      <c r="AC73" s="20">
        <f t="shared" si="16"/>
        <v>6.0026862605672748E-2</v>
      </c>
      <c r="AD73" s="25">
        <f t="shared" si="16"/>
        <v>1.1999999999999999E-3</v>
      </c>
      <c r="AE73" s="25">
        <f t="shared" si="16"/>
        <v>5.8999999999999999E-3</v>
      </c>
      <c r="AF73" s="21">
        <f t="shared" si="16"/>
        <v>26.5</v>
      </c>
      <c r="AG73" s="25">
        <f t="shared" si="16"/>
        <v>2.64E-2</v>
      </c>
      <c r="AH73" s="25">
        <f t="shared" si="16"/>
        <v>5.0000000000000001E-4</v>
      </c>
    </row>
    <row r="74" spans="1:34" ht="12" customHeight="1" x14ac:dyDescent="0.2">
      <c r="A74" s="5" t="s">
        <v>6</v>
      </c>
      <c r="B74" s="5" t="s">
        <v>44</v>
      </c>
      <c r="C74" s="13">
        <f>$E$25</f>
        <v>1000000</v>
      </c>
      <c r="D74" s="43">
        <v>152905198</v>
      </c>
      <c r="E74" s="37">
        <f t="shared" si="2"/>
        <v>151905198</v>
      </c>
      <c r="F74" s="4">
        <f t="shared" si="12"/>
        <v>151.90519800000001</v>
      </c>
      <c r="G74" s="37">
        <f>C74*AD73</f>
        <v>1200</v>
      </c>
      <c r="H74" s="37">
        <f>D74*AD73</f>
        <v>183486.23759999999</v>
      </c>
      <c r="I74" s="37">
        <f t="shared" si="5"/>
        <v>182286.23759999999</v>
      </c>
      <c r="J74" s="4">
        <f t="shared" si="6"/>
        <v>151.90519799999998</v>
      </c>
      <c r="K74" s="37">
        <f>S74*(C74/1000)</f>
        <v>570</v>
      </c>
      <c r="L74" s="37">
        <f>S74*(D74/1000)</f>
        <v>87155.96286</v>
      </c>
      <c r="M74" s="37">
        <f t="shared" si="7"/>
        <v>86585.96286</v>
      </c>
      <c r="N74" s="4">
        <f t="shared" si="13"/>
        <v>151.90519800000001</v>
      </c>
      <c r="Q74" s="33" t="s">
        <v>89</v>
      </c>
      <c r="R74" s="1">
        <f>C74*0.75</f>
        <v>750000</v>
      </c>
      <c r="S74" s="35">
        <f>$E$26</f>
        <v>0.56999999999999995</v>
      </c>
      <c r="AD74" s="16"/>
      <c r="AE74" s="16"/>
      <c r="AG74" s="16"/>
      <c r="AH74" s="16"/>
    </row>
    <row r="75" spans="1:34" x14ac:dyDescent="0.2">
      <c r="A75" s="5" t="s">
        <v>6</v>
      </c>
      <c r="B75" s="5" t="s">
        <v>48</v>
      </c>
      <c r="C75" s="13">
        <f>$E$29</f>
        <v>700000</v>
      </c>
      <c r="D75" s="43">
        <v>0</v>
      </c>
      <c r="E75" s="37">
        <f t="shared" si="2"/>
        <v>-700000</v>
      </c>
      <c r="F75" s="4">
        <f t="shared" si="12"/>
        <v>-1</v>
      </c>
      <c r="G75" s="37">
        <f>C75*AE73</f>
        <v>4130</v>
      </c>
      <c r="H75" s="37">
        <f>D75*AE73</f>
        <v>0</v>
      </c>
      <c r="I75" s="37">
        <f t="shared" si="5"/>
        <v>-4130</v>
      </c>
      <c r="J75" s="4">
        <f t="shared" si="6"/>
        <v>-1</v>
      </c>
      <c r="K75" s="37">
        <f t="shared" ref="K75:K76" si="17">S75*(C75/1000)</f>
        <v>3087</v>
      </c>
      <c r="L75" s="37">
        <f>S75*(D75/1000)</f>
        <v>0</v>
      </c>
      <c r="M75" s="37">
        <f t="shared" si="7"/>
        <v>-3087</v>
      </c>
      <c r="N75" s="4">
        <f t="shared" si="13"/>
        <v>-1</v>
      </c>
      <c r="Q75" s="33" t="s">
        <v>89</v>
      </c>
      <c r="R75" s="1">
        <f>C75*0.75</f>
        <v>525000</v>
      </c>
      <c r="S75" s="35">
        <f>$E$30</f>
        <v>4.41</v>
      </c>
      <c r="AC75" s="9"/>
      <c r="AD75" s="16"/>
      <c r="AE75" s="16"/>
      <c r="AG75" s="16"/>
      <c r="AH75" s="16"/>
    </row>
    <row r="76" spans="1:34" x14ac:dyDescent="0.2">
      <c r="A76" s="5" t="s">
        <v>6</v>
      </c>
      <c r="B76" s="5" t="s">
        <v>52</v>
      </c>
      <c r="C76" s="13">
        <f>$E$33</f>
        <v>3000000</v>
      </c>
      <c r="D76" s="43">
        <v>0</v>
      </c>
      <c r="E76" s="37">
        <f t="shared" si="2"/>
        <v>-3000000</v>
      </c>
      <c r="F76" s="4">
        <f t="shared" si="12"/>
        <v>-1</v>
      </c>
      <c r="G76" s="37">
        <f>AH73*C76</f>
        <v>1500</v>
      </c>
      <c r="H76" s="37">
        <f>AH73*D76</f>
        <v>0</v>
      </c>
      <c r="I76" s="37">
        <f t="shared" si="5"/>
        <v>-1500</v>
      </c>
      <c r="J76" s="4">
        <f t="shared" si="6"/>
        <v>-1</v>
      </c>
      <c r="K76" s="37">
        <f t="shared" si="17"/>
        <v>1200</v>
      </c>
      <c r="L76" s="37">
        <f>S76*(D76/1000)</f>
        <v>0</v>
      </c>
      <c r="M76" s="37">
        <f t="shared" si="7"/>
        <v>-1200</v>
      </c>
      <c r="N76" s="4">
        <f t="shared" si="13"/>
        <v>-1</v>
      </c>
      <c r="Q76" s="33" t="s">
        <v>89</v>
      </c>
      <c r="R76" s="1">
        <f>C76*0.75</f>
        <v>2250000</v>
      </c>
      <c r="S76" s="35">
        <f>$E$34</f>
        <v>0.4</v>
      </c>
      <c r="AC76" s="9"/>
      <c r="AD76" s="16"/>
      <c r="AE76" s="16"/>
      <c r="AG76" s="16"/>
      <c r="AH76" s="16"/>
    </row>
    <row r="77" spans="1:34" x14ac:dyDescent="0.2">
      <c r="A77" s="18" t="str">
        <f>A78</f>
        <v>Philippines</v>
      </c>
      <c r="B77" s="22"/>
      <c r="C77" s="46">
        <f>SUM(C78:C80)</f>
        <v>12700000</v>
      </c>
      <c r="D77" s="54">
        <f>SUM(D78:D80)</f>
        <v>0</v>
      </c>
      <c r="E77" s="54">
        <f t="shared" si="2"/>
        <v>-12700000</v>
      </c>
      <c r="F77" s="23">
        <f t="shared" si="12"/>
        <v>-1</v>
      </c>
      <c r="G77" s="54">
        <f>SUM(G78:G80)</f>
        <v>25860</v>
      </c>
      <c r="H77" s="54">
        <f>SUM(H78:H80)</f>
        <v>0</v>
      </c>
      <c r="I77" s="54">
        <f t="shared" si="5"/>
        <v>-25860</v>
      </c>
      <c r="J77" s="23">
        <f t="shared" si="6"/>
        <v>-1</v>
      </c>
      <c r="K77" s="54">
        <f>SUM(K78:K80)</f>
        <v>18805</v>
      </c>
      <c r="L77" s="54">
        <f>SUM(L78:L80)</f>
        <v>0</v>
      </c>
      <c r="M77" s="54">
        <f t="shared" si="7"/>
        <v>-18805</v>
      </c>
      <c r="N77" s="23">
        <f t="shared" si="13"/>
        <v>-1</v>
      </c>
      <c r="Q77" s="32" t="s">
        <v>90</v>
      </c>
      <c r="R77" s="1">
        <f>C77*1.25</f>
        <v>15875000</v>
      </c>
      <c r="W77" s="19">
        <f t="shared" ref="W77:AH77" si="18">INDEX($F$7:$F$47,MATCH(W$60,$A$7:$A$47,0))</f>
        <v>105.7</v>
      </c>
      <c r="X77" s="19">
        <f t="shared" si="18"/>
        <v>8.3000000000000007</v>
      </c>
      <c r="Y77" s="19">
        <f t="shared" si="18"/>
        <v>94.2</v>
      </c>
      <c r="Z77" s="19">
        <f t="shared" si="18"/>
        <v>29.9</v>
      </c>
      <c r="AA77" s="19">
        <f t="shared" si="18"/>
        <v>203907</v>
      </c>
      <c r="AB77" s="19">
        <f t="shared" si="18"/>
        <v>2204</v>
      </c>
      <c r="AC77" s="20">
        <f t="shared" si="18"/>
        <v>1.0808849132202425E-2</v>
      </c>
      <c r="AD77" s="25">
        <f t="shared" si="18"/>
        <v>1.1000000000000001E-3</v>
      </c>
      <c r="AE77" s="25">
        <f t="shared" si="18"/>
        <v>4.7999999999999996E-3</v>
      </c>
      <c r="AF77" s="21">
        <f t="shared" si="18"/>
        <v>32.4</v>
      </c>
      <c r="AG77" s="25">
        <f t="shared" si="18"/>
        <v>1.8100000000000002E-2</v>
      </c>
      <c r="AH77" s="25">
        <f t="shared" si="18"/>
        <v>5.0000000000000001E-4</v>
      </c>
    </row>
    <row r="78" spans="1:34" x14ac:dyDescent="0.2">
      <c r="A78" s="5" t="s">
        <v>7</v>
      </c>
      <c r="B78" s="5" t="s">
        <v>44</v>
      </c>
      <c r="C78" s="13">
        <f>$F$25</f>
        <v>6000000</v>
      </c>
      <c r="D78" s="43">
        <v>0</v>
      </c>
      <c r="E78" s="37">
        <f t="shared" si="2"/>
        <v>-6000000</v>
      </c>
      <c r="F78" s="4">
        <f t="shared" si="12"/>
        <v>-1</v>
      </c>
      <c r="G78" s="37">
        <f>C78*AD77</f>
        <v>6600</v>
      </c>
      <c r="H78" s="37">
        <f>D78*AD77</f>
        <v>0</v>
      </c>
      <c r="I78" s="37">
        <f t="shared" si="5"/>
        <v>-6600</v>
      </c>
      <c r="J78" s="4">
        <f t="shared" si="6"/>
        <v>-1</v>
      </c>
      <c r="K78" s="37">
        <f>S78*(C78/1000)</f>
        <v>3360.0000000000005</v>
      </c>
      <c r="L78" s="37">
        <f>S78*(D78/1000)</f>
        <v>0</v>
      </c>
      <c r="M78" s="37">
        <f t="shared" si="7"/>
        <v>-3360.0000000000005</v>
      </c>
      <c r="N78" s="4">
        <f t="shared" si="13"/>
        <v>-1</v>
      </c>
      <c r="Q78" s="33" t="s">
        <v>89</v>
      </c>
      <c r="R78" s="1">
        <f>C78*0.75</f>
        <v>4500000</v>
      </c>
      <c r="S78" s="35">
        <f>$F$26</f>
        <v>0.56000000000000005</v>
      </c>
      <c r="AD78" s="16"/>
      <c r="AE78" s="16"/>
      <c r="AG78" s="16"/>
      <c r="AH78" s="16"/>
    </row>
    <row r="79" spans="1:34" x14ac:dyDescent="0.2">
      <c r="A79" s="5" t="s">
        <v>7</v>
      </c>
      <c r="B79" s="5" t="s">
        <v>48</v>
      </c>
      <c r="C79" s="13">
        <f>$F$29</f>
        <v>3700000</v>
      </c>
      <c r="D79" s="43">
        <v>0</v>
      </c>
      <c r="E79" s="37">
        <f t="shared" si="2"/>
        <v>-3700000</v>
      </c>
      <c r="F79" s="4">
        <f t="shared" si="12"/>
        <v>-1</v>
      </c>
      <c r="G79" s="37">
        <f>C79*AE77</f>
        <v>17760</v>
      </c>
      <c r="H79" s="37">
        <f>D79*AE77</f>
        <v>0</v>
      </c>
      <c r="I79" s="37">
        <f t="shared" si="5"/>
        <v>-17760</v>
      </c>
      <c r="J79" s="4">
        <f t="shared" si="6"/>
        <v>-1</v>
      </c>
      <c r="K79" s="37">
        <f t="shared" ref="K79:K80" si="19">S79*(C79/1000)</f>
        <v>14245</v>
      </c>
      <c r="L79" s="37">
        <f>S79*(D79/1000)</f>
        <v>0</v>
      </c>
      <c r="M79" s="37">
        <f t="shared" si="7"/>
        <v>-14245</v>
      </c>
      <c r="N79" s="4">
        <f t="shared" si="13"/>
        <v>-1</v>
      </c>
      <c r="Q79" s="33" t="s">
        <v>89</v>
      </c>
      <c r="R79" s="1">
        <f>C79*0.75</f>
        <v>2775000</v>
      </c>
      <c r="S79" s="35">
        <f>$F$30</f>
        <v>3.85</v>
      </c>
      <c r="AD79" s="16"/>
      <c r="AE79" s="16"/>
      <c r="AG79" s="16"/>
      <c r="AH79" s="16"/>
    </row>
    <row r="80" spans="1:34" x14ac:dyDescent="0.2">
      <c r="A80" s="5" t="s">
        <v>7</v>
      </c>
      <c r="B80" s="5" t="s">
        <v>52</v>
      </c>
      <c r="C80" s="13">
        <f>$F$33</f>
        <v>3000000</v>
      </c>
      <c r="D80" s="43">
        <v>0</v>
      </c>
      <c r="E80" s="37">
        <f t="shared" si="2"/>
        <v>-3000000</v>
      </c>
      <c r="F80" s="4">
        <f t="shared" si="12"/>
        <v>-1</v>
      </c>
      <c r="G80" s="37">
        <f>AH77*C80</f>
        <v>1500</v>
      </c>
      <c r="H80" s="37">
        <f>AH77*D80</f>
        <v>0</v>
      </c>
      <c r="I80" s="37">
        <f t="shared" si="5"/>
        <v>-1500</v>
      </c>
      <c r="J80" s="4">
        <f t="shared" si="6"/>
        <v>-1</v>
      </c>
      <c r="K80" s="37">
        <f t="shared" si="19"/>
        <v>1200</v>
      </c>
      <c r="L80" s="37">
        <f>S80*(D80/1000)</f>
        <v>0</v>
      </c>
      <c r="M80" s="37">
        <f t="shared" si="7"/>
        <v>-1200</v>
      </c>
      <c r="N80" s="4">
        <f t="shared" si="13"/>
        <v>-1</v>
      </c>
      <c r="Q80" s="33" t="s">
        <v>89</v>
      </c>
      <c r="R80" s="1">
        <f>C80*0.75</f>
        <v>2250000</v>
      </c>
      <c r="S80" s="35">
        <f>$F$34</f>
        <v>0.4</v>
      </c>
      <c r="AD80" s="16"/>
      <c r="AE80" s="16"/>
      <c r="AG80" s="16"/>
      <c r="AH80" s="16"/>
    </row>
    <row r="81" spans="1:34" x14ac:dyDescent="0.2">
      <c r="A81" s="18" t="str">
        <f>A82</f>
        <v>Singapore</v>
      </c>
      <c r="B81" s="22"/>
      <c r="C81" s="46">
        <f>SUM(C82:C84)</f>
        <v>6350000</v>
      </c>
      <c r="D81" s="54">
        <f>SUM(D82:D84)</f>
        <v>0</v>
      </c>
      <c r="E81" s="54">
        <f t="shared" si="2"/>
        <v>-6350000</v>
      </c>
      <c r="F81" s="23">
        <f t="shared" si="12"/>
        <v>-1</v>
      </c>
      <c r="G81" s="54">
        <f>SUM(G82:G84)</f>
        <v>8490</v>
      </c>
      <c r="H81" s="54">
        <f>SUM(H82:H84)</f>
        <v>0</v>
      </c>
      <c r="I81" s="54">
        <f t="shared" si="5"/>
        <v>-8490</v>
      </c>
      <c r="J81" s="23">
        <f t="shared" si="6"/>
        <v>-1</v>
      </c>
      <c r="K81" s="54">
        <f>SUM(K82:K84)</f>
        <v>10180</v>
      </c>
      <c r="L81" s="54">
        <f>SUM(L82:L84)</f>
        <v>0</v>
      </c>
      <c r="M81" s="54">
        <f t="shared" si="7"/>
        <v>-10180</v>
      </c>
      <c r="N81" s="23">
        <f t="shared" si="13"/>
        <v>-1</v>
      </c>
      <c r="Q81" s="32" t="s">
        <v>90</v>
      </c>
      <c r="R81" s="1">
        <f>C81*1.25</f>
        <v>7937500</v>
      </c>
      <c r="W81" s="19">
        <f t="shared" ref="W81:AH81" si="20">INDEX($G$7:$G$47,MATCH(W$60,$A$7:$A$47,0))</f>
        <v>5.5</v>
      </c>
      <c r="X81" s="19">
        <f t="shared" si="20"/>
        <v>3.2</v>
      </c>
      <c r="Y81" s="19">
        <f t="shared" si="20"/>
        <v>7.8</v>
      </c>
      <c r="Z81" s="19">
        <f t="shared" si="20"/>
        <v>2.9</v>
      </c>
      <c r="AA81" s="19">
        <f t="shared" si="20"/>
        <v>15595</v>
      </c>
      <c r="AB81" s="19">
        <f t="shared" si="20"/>
        <v>1496</v>
      </c>
      <c r="AC81" s="20">
        <f t="shared" si="20"/>
        <v>9.5928182109650525E-2</v>
      </c>
      <c r="AD81" s="25">
        <f t="shared" si="20"/>
        <v>1.1999999999999999E-3</v>
      </c>
      <c r="AE81" s="25">
        <f t="shared" si="20"/>
        <v>3.3999999999999998E-3</v>
      </c>
      <c r="AF81" s="21">
        <f t="shared" si="20"/>
        <v>20.6</v>
      </c>
      <c r="AG81" s="25">
        <f t="shared" si="20"/>
        <v>1.83E-2</v>
      </c>
      <c r="AH81" s="25">
        <f t="shared" si="20"/>
        <v>5.0000000000000001E-4</v>
      </c>
    </row>
    <row r="82" spans="1:34" x14ac:dyDescent="0.2">
      <c r="A82" s="5" t="s">
        <v>8</v>
      </c>
      <c r="B82" s="5" t="s">
        <v>44</v>
      </c>
      <c r="C82" s="13">
        <f>$G$25</f>
        <v>2000000</v>
      </c>
      <c r="D82" s="43">
        <v>0</v>
      </c>
      <c r="E82" s="37">
        <f t="shared" si="2"/>
        <v>-2000000</v>
      </c>
      <c r="F82" s="4">
        <f t="shared" si="12"/>
        <v>-1</v>
      </c>
      <c r="G82" s="37">
        <f>C82*AD81</f>
        <v>2400</v>
      </c>
      <c r="H82" s="37">
        <f>D82*AD81</f>
        <v>0</v>
      </c>
      <c r="I82" s="37">
        <f t="shared" si="5"/>
        <v>-2400</v>
      </c>
      <c r="J82" s="4">
        <f t="shared" si="6"/>
        <v>-1</v>
      </c>
      <c r="K82" s="37">
        <f>S82*(C82/1000)</f>
        <v>1420</v>
      </c>
      <c r="L82" s="37">
        <f>S82*(D82/1000)</f>
        <v>0</v>
      </c>
      <c r="M82" s="37">
        <f t="shared" si="7"/>
        <v>-1420</v>
      </c>
      <c r="N82" s="4">
        <f t="shared" si="13"/>
        <v>-1</v>
      </c>
      <c r="Q82" s="33" t="s">
        <v>89</v>
      </c>
      <c r="R82" s="1">
        <f>C82*0.75</f>
        <v>1500000</v>
      </c>
      <c r="S82" s="35">
        <f>$G$26</f>
        <v>0.71</v>
      </c>
    </row>
    <row r="83" spans="1:34" x14ac:dyDescent="0.2">
      <c r="A83" s="5" t="s">
        <v>8</v>
      </c>
      <c r="B83" s="5" t="s">
        <v>48</v>
      </c>
      <c r="C83" s="13">
        <f>$G$29</f>
        <v>1350000</v>
      </c>
      <c r="D83" s="43">
        <v>0</v>
      </c>
      <c r="E83" s="37">
        <f t="shared" si="2"/>
        <v>-1350000</v>
      </c>
      <c r="F83" s="4">
        <f t="shared" si="12"/>
        <v>-1</v>
      </c>
      <c r="G83" s="37">
        <f>C83*AE81</f>
        <v>4590</v>
      </c>
      <c r="H83" s="37">
        <f>D83*AE81</f>
        <v>0</v>
      </c>
      <c r="I83" s="37">
        <f t="shared" si="5"/>
        <v>-4590</v>
      </c>
      <c r="J83" s="4">
        <f t="shared" si="6"/>
        <v>-1</v>
      </c>
      <c r="K83" s="37">
        <f t="shared" ref="K83:K84" si="21">S83*(C83/1000)</f>
        <v>7559.9999999999991</v>
      </c>
      <c r="L83" s="37">
        <f>S83*(D83/1000)</f>
        <v>0</v>
      </c>
      <c r="M83" s="37">
        <f t="shared" si="7"/>
        <v>-7559.9999999999991</v>
      </c>
      <c r="N83" s="4">
        <f t="shared" si="13"/>
        <v>-1</v>
      </c>
      <c r="Q83" s="33" t="s">
        <v>89</v>
      </c>
      <c r="R83" s="1">
        <f>C83*0.75</f>
        <v>1012500</v>
      </c>
      <c r="S83" s="35">
        <f>$G$30</f>
        <v>5.6</v>
      </c>
    </row>
    <row r="84" spans="1:34" x14ac:dyDescent="0.2">
      <c r="A84" s="5" t="s">
        <v>8</v>
      </c>
      <c r="B84" s="5" t="s">
        <v>52</v>
      </c>
      <c r="C84" s="13">
        <f>$G$33</f>
        <v>3000000</v>
      </c>
      <c r="D84" s="43">
        <v>0</v>
      </c>
      <c r="E84" s="37">
        <f t="shared" si="2"/>
        <v>-3000000</v>
      </c>
      <c r="F84" s="4">
        <f t="shared" si="12"/>
        <v>-1</v>
      </c>
      <c r="G84" s="37">
        <f>AH81*C84</f>
        <v>1500</v>
      </c>
      <c r="H84" s="37">
        <f>AH81*D84</f>
        <v>0</v>
      </c>
      <c r="I84" s="37">
        <f t="shared" si="5"/>
        <v>-1500</v>
      </c>
      <c r="J84" s="4">
        <f t="shared" si="6"/>
        <v>-1</v>
      </c>
      <c r="K84" s="37">
        <f t="shared" si="21"/>
        <v>1200</v>
      </c>
      <c r="L84" s="37">
        <f>S84*(D84/1000)</f>
        <v>0</v>
      </c>
      <c r="M84" s="37">
        <f t="shared" si="7"/>
        <v>-1200</v>
      </c>
      <c r="N84" s="4">
        <f t="shared" si="13"/>
        <v>-1</v>
      </c>
      <c r="Q84" s="33" t="s">
        <v>89</v>
      </c>
      <c r="R84" s="1">
        <f>C84*0.75</f>
        <v>2250000</v>
      </c>
      <c r="S84" s="35">
        <f>$G$34</f>
        <v>0.4</v>
      </c>
    </row>
    <row r="85" spans="1:34" x14ac:dyDescent="0.2">
      <c r="A85" s="146" t="s">
        <v>108</v>
      </c>
      <c r="B85" s="146"/>
      <c r="C85" s="46"/>
      <c r="D85" s="46"/>
      <c r="E85" s="46"/>
      <c r="F85" s="23"/>
      <c r="G85" s="46"/>
      <c r="H85" s="46"/>
      <c r="I85" s="46"/>
      <c r="J85" s="23"/>
      <c r="K85" s="54">
        <f>SUM(K81,K77,K73,K69,K65,K61)*0.09</f>
        <v>8556.84</v>
      </c>
      <c r="L85" s="54">
        <f>SUM(L81,L77,L73,L69,L65,L61)*0.09</f>
        <v>7844.0366934000003</v>
      </c>
      <c r="M85" s="54">
        <f>SUM(M81,M77,M73,M69,M65,M61)*0.09</f>
        <v>-712.80330659999993</v>
      </c>
      <c r="N85" s="23">
        <f t="shared" si="13"/>
        <v>-8.3302166056628366E-2</v>
      </c>
      <c r="Q85" s="33"/>
      <c r="S85" s="35"/>
    </row>
    <row r="86" spans="1:34" x14ac:dyDescent="0.2">
      <c r="A86" s="146" t="s">
        <v>103</v>
      </c>
      <c r="B86" s="146"/>
      <c r="C86" s="46">
        <f>SUM(C81,C77,C73,C69,C65,C61)</f>
        <v>58650000</v>
      </c>
      <c r="D86" s="46">
        <f>SUM(D81,D77,D73,D69,D65,D61)</f>
        <v>152905199</v>
      </c>
      <c r="E86" s="46">
        <f>SUM(E81,E77,E73,E69,E65,E61)</f>
        <v>94255199</v>
      </c>
      <c r="F86" s="23">
        <f>E86/C86</f>
        <v>1.6070792668371696</v>
      </c>
      <c r="G86" s="46">
        <f>SUM(G81,G77,G73,G69,G65,G61)</f>
        <v>96380</v>
      </c>
      <c r="H86" s="46">
        <f>SUM(H81,H77,H73,H69,H65,H61)</f>
        <v>183486.23809999999</v>
      </c>
      <c r="I86" s="46">
        <f>SUM(I81,I77,I73,I69,I65,I61)</f>
        <v>87106.238099999988</v>
      </c>
      <c r="J86" s="23">
        <f t="shared" si="6"/>
        <v>0.90377918759078635</v>
      </c>
      <c r="K86" s="54">
        <f>SUM(K81,K77,K73,K69,K65,K61)*1.09</f>
        <v>103632.84000000001</v>
      </c>
      <c r="L86" s="54">
        <f>SUM(L82:L84,L78:L80,L74:L75,L76,L70:L72,L66:L68,L62:L64)*1.09</f>
        <v>94999.999953400009</v>
      </c>
      <c r="M86" s="46">
        <f>SUM(M81,M77,M73,M69,M65,M61)</f>
        <v>-7920.0367399999996</v>
      </c>
      <c r="N86" s="23">
        <f t="shared" si="13"/>
        <v>-7.642400555653979E-2</v>
      </c>
      <c r="Q86" s="22"/>
      <c r="R86" s="22"/>
      <c r="S86" s="22"/>
    </row>
    <row r="87" spans="1:34" x14ac:dyDescent="0.2">
      <c r="A87" s="45"/>
      <c r="B87" s="45"/>
      <c r="C87" s="13"/>
      <c r="D87" s="13"/>
      <c r="F87" s="13"/>
      <c r="G87" s="4"/>
      <c r="H87" s="13"/>
      <c r="I87" s="13"/>
      <c r="J87" s="13"/>
      <c r="K87" s="4"/>
    </row>
    <row r="88" spans="1:34" x14ac:dyDescent="0.2">
      <c r="A88" s="5" t="s">
        <v>80</v>
      </c>
      <c r="B88" s="5" t="s">
        <v>81</v>
      </c>
    </row>
    <row r="89" spans="1:34" x14ac:dyDescent="0.2">
      <c r="A89" s="5" t="s">
        <v>80</v>
      </c>
      <c r="B89" s="5" t="s">
        <v>82</v>
      </c>
    </row>
    <row r="90" spans="1:34" x14ac:dyDescent="0.2">
      <c r="A90" s="1" t="s">
        <v>95</v>
      </c>
    </row>
  </sheetData>
  <autoFilter ref="Q60:Q84" xr:uid="{A4ED33EC-C373-4EED-8FC6-4DE0894FA8B3}"/>
  <mergeCells count="9">
    <mergeCell ref="A85:B85"/>
    <mergeCell ref="A86:B86"/>
    <mergeCell ref="Q59:R59"/>
    <mergeCell ref="I33:K35"/>
    <mergeCell ref="I37:J37"/>
    <mergeCell ref="L44:L45"/>
    <mergeCell ref="C59:F59"/>
    <mergeCell ref="G59:J59"/>
    <mergeCell ref="K59:N59"/>
  </mergeCells>
  <conditionalFormatting sqref="E61:F84 G87 F86 K87 J86">
    <cfRule type="cellIs" dxfId="17" priority="6" operator="lessThan">
      <formula>0</formula>
    </cfRule>
  </conditionalFormatting>
  <conditionalFormatting sqref="I61:J84">
    <cfRule type="cellIs" dxfId="16" priority="5" operator="lessThan">
      <formula>0</formula>
    </cfRule>
  </conditionalFormatting>
  <conditionalFormatting sqref="N86">
    <cfRule type="cellIs" dxfId="15" priority="4" operator="lessThan">
      <formula>0</formula>
    </cfRule>
  </conditionalFormatting>
  <conditionalFormatting sqref="M61:N84">
    <cfRule type="cellIs" dxfId="14" priority="3" operator="lessThan">
      <formula>0</formula>
    </cfRule>
  </conditionalFormatting>
  <conditionalFormatting sqref="F85 J85">
    <cfRule type="cellIs" dxfId="13" priority="2" operator="lessThan">
      <formula>0</formula>
    </cfRule>
  </conditionalFormatting>
  <conditionalFormatting sqref="N85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2B73-A2C3-4A12-915B-0D27AA13E744}">
  <sheetPr>
    <pageSetUpPr fitToPage="1"/>
  </sheetPr>
  <dimension ref="A1:G73"/>
  <sheetViews>
    <sheetView showGridLines="0" tabSelected="1" topLeftCell="A55" zoomScaleNormal="100" workbookViewId="0">
      <selection activeCell="A14" sqref="A14:G73"/>
    </sheetView>
  </sheetViews>
  <sheetFormatPr defaultRowHeight="12.75" x14ac:dyDescent="0.2"/>
  <cols>
    <col min="1" max="1" width="2.28515625" customWidth="1"/>
    <col min="2" max="2" width="19.140625" bestFit="1" customWidth="1"/>
    <col min="3" max="3" width="19" bestFit="1" customWidth="1"/>
    <col min="4" max="4" width="14.28515625" bestFit="1" customWidth="1"/>
    <col min="5" max="5" width="14.5703125" bestFit="1" customWidth="1"/>
    <col min="6" max="6" width="10.5703125" bestFit="1" customWidth="1"/>
    <col min="7" max="7" width="12.42578125" bestFit="1" customWidth="1"/>
  </cols>
  <sheetData>
    <row r="1" spans="1:5" x14ac:dyDescent="0.2">
      <c r="A1" s="138" t="s">
        <v>142</v>
      </c>
    </row>
    <row r="2" spans="1:5" x14ac:dyDescent="0.2">
      <c r="A2" s="138" t="s">
        <v>143</v>
      </c>
    </row>
    <row r="3" spans="1:5" x14ac:dyDescent="0.2">
      <c r="A3" s="138" t="s">
        <v>144</v>
      </c>
    </row>
    <row r="4" spans="1:5" x14ac:dyDescent="0.2">
      <c r="A4" s="138" t="s">
        <v>145</v>
      </c>
    </row>
    <row r="5" spans="1:5" x14ac:dyDescent="0.2">
      <c r="A5" s="138" t="s">
        <v>146</v>
      </c>
    </row>
    <row r="6" spans="1:5" x14ac:dyDescent="0.2">
      <c r="A6" s="138"/>
      <c r="B6" t="s">
        <v>147</v>
      </c>
    </row>
    <row r="7" spans="1:5" x14ac:dyDescent="0.2">
      <c r="A7" s="138"/>
      <c r="B7" t="s">
        <v>148</v>
      </c>
    </row>
    <row r="8" spans="1:5" x14ac:dyDescent="0.2">
      <c r="A8" s="138"/>
      <c r="B8" t="s">
        <v>149</v>
      </c>
    </row>
    <row r="9" spans="1:5" x14ac:dyDescent="0.2">
      <c r="A9" s="138" t="s">
        <v>150</v>
      </c>
    </row>
    <row r="10" spans="1:5" x14ac:dyDescent="0.2">
      <c r="B10" t="s">
        <v>151</v>
      </c>
    </row>
    <row r="11" spans="1:5" x14ac:dyDescent="0.2">
      <c r="B11" t="s">
        <v>152</v>
      </c>
    </row>
    <row r="14" spans="1:5" ht="13.5" thickBot="1" x14ac:dyDescent="0.25">
      <c r="A14" t="s">
        <v>153</v>
      </c>
    </row>
    <row r="15" spans="1:5" ht="13.5" thickBot="1" x14ac:dyDescent="0.25">
      <c r="B15" s="140" t="s">
        <v>154</v>
      </c>
      <c r="C15" s="140" t="s">
        <v>155</v>
      </c>
      <c r="D15" s="140" t="s">
        <v>156</v>
      </c>
      <c r="E15" s="140" t="s">
        <v>157</v>
      </c>
    </row>
    <row r="16" spans="1:5" ht="13.5" thickBot="1" x14ac:dyDescent="0.25">
      <c r="B16" s="139" t="s">
        <v>165</v>
      </c>
      <c r="C16" s="139" t="s">
        <v>166</v>
      </c>
      <c r="D16" s="142">
        <v>134121.209154276</v>
      </c>
      <c r="E16" s="142">
        <v>134121.209154276</v>
      </c>
    </row>
    <row r="19" spans="1:6" ht="13.5" thickBot="1" x14ac:dyDescent="0.25">
      <c r="A19" t="s">
        <v>158</v>
      </c>
    </row>
    <row r="20" spans="1:6" ht="13.5" thickBot="1" x14ac:dyDescent="0.25">
      <c r="B20" s="140" t="s">
        <v>154</v>
      </c>
      <c r="C20" s="140" t="s">
        <v>155</v>
      </c>
      <c r="D20" s="140" t="s">
        <v>156</v>
      </c>
      <c r="E20" s="140" t="s">
        <v>157</v>
      </c>
      <c r="F20" s="140" t="s">
        <v>159</v>
      </c>
    </row>
    <row r="21" spans="1:6" x14ac:dyDescent="0.2">
      <c r="B21" s="141" t="s">
        <v>167</v>
      </c>
      <c r="C21" s="141" t="s">
        <v>168</v>
      </c>
      <c r="D21" s="143">
        <v>4500000</v>
      </c>
      <c r="E21" s="143">
        <v>4500000</v>
      </c>
      <c r="F21" s="141" t="s">
        <v>159</v>
      </c>
    </row>
    <row r="22" spans="1:6" x14ac:dyDescent="0.2">
      <c r="B22" s="141" t="s">
        <v>170</v>
      </c>
      <c r="C22" s="141" t="s">
        <v>171</v>
      </c>
      <c r="D22" s="143">
        <v>2625000</v>
      </c>
      <c r="E22" s="143">
        <v>2625000</v>
      </c>
      <c r="F22" s="141" t="s">
        <v>159</v>
      </c>
    </row>
    <row r="23" spans="1:6" x14ac:dyDescent="0.2">
      <c r="B23" s="141" t="s">
        <v>172</v>
      </c>
      <c r="C23" s="141" t="s">
        <v>173</v>
      </c>
      <c r="D23" s="143">
        <v>2250000</v>
      </c>
      <c r="E23" s="143">
        <v>2250000</v>
      </c>
      <c r="F23" s="141" t="s">
        <v>159</v>
      </c>
    </row>
    <row r="24" spans="1:6" x14ac:dyDescent="0.2">
      <c r="B24" s="141" t="s">
        <v>174</v>
      </c>
      <c r="C24" s="141" t="s">
        <v>168</v>
      </c>
      <c r="D24" s="143">
        <v>4500000</v>
      </c>
      <c r="E24" s="143">
        <v>4500000</v>
      </c>
      <c r="F24" s="141" t="s">
        <v>159</v>
      </c>
    </row>
    <row r="25" spans="1:6" x14ac:dyDescent="0.2">
      <c r="B25" s="141" t="s">
        <v>175</v>
      </c>
      <c r="C25" s="141" t="s">
        <v>171</v>
      </c>
      <c r="D25" s="143">
        <v>2775000</v>
      </c>
      <c r="E25" s="143">
        <v>2775000</v>
      </c>
      <c r="F25" s="141" t="s">
        <v>159</v>
      </c>
    </row>
    <row r="26" spans="1:6" x14ac:dyDescent="0.2">
      <c r="B26" s="141" t="s">
        <v>176</v>
      </c>
      <c r="C26" s="141" t="s">
        <v>173</v>
      </c>
      <c r="D26" s="143">
        <v>4850000</v>
      </c>
      <c r="E26" s="143">
        <v>4850000</v>
      </c>
      <c r="F26" s="141" t="s">
        <v>159</v>
      </c>
    </row>
    <row r="27" spans="1:6" x14ac:dyDescent="0.2">
      <c r="B27" s="141" t="s">
        <v>177</v>
      </c>
      <c r="C27" s="141" t="s">
        <v>168</v>
      </c>
      <c r="D27" s="143">
        <v>4500000</v>
      </c>
      <c r="E27" s="143">
        <v>4500000</v>
      </c>
      <c r="F27" s="141" t="s">
        <v>159</v>
      </c>
    </row>
    <row r="28" spans="1:6" x14ac:dyDescent="0.2">
      <c r="B28" s="141" t="s">
        <v>178</v>
      </c>
      <c r="C28" s="141" t="s">
        <v>171</v>
      </c>
      <c r="D28" s="143">
        <v>2775000</v>
      </c>
      <c r="E28" s="143">
        <v>2775000</v>
      </c>
      <c r="F28" s="141" t="s">
        <v>159</v>
      </c>
    </row>
    <row r="29" spans="1:6" x14ac:dyDescent="0.2">
      <c r="B29" s="141" t="s">
        <v>179</v>
      </c>
      <c r="C29" s="141" t="s">
        <v>173</v>
      </c>
      <c r="D29" s="143">
        <v>2250000</v>
      </c>
      <c r="E29" s="143">
        <v>2250000</v>
      </c>
      <c r="F29" s="141" t="s">
        <v>159</v>
      </c>
    </row>
    <row r="30" spans="1:6" x14ac:dyDescent="0.2">
      <c r="B30" s="141" t="s">
        <v>180</v>
      </c>
      <c r="C30" s="141" t="s">
        <v>171</v>
      </c>
      <c r="D30" s="143">
        <v>2875000</v>
      </c>
      <c r="E30" s="143">
        <v>2875000</v>
      </c>
      <c r="F30" s="141" t="s">
        <v>159</v>
      </c>
    </row>
    <row r="31" spans="1:6" x14ac:dyDescent="0.2">
      <c r="B31" s="141" t="s">
        <v>181</v>
      </c>
      <c r="C31" s="141" t="s">
        <v>173</v>
      </c>
      <c r="D31" s="143">
        <v>2250000</v>
      </c>
      <c r="E31" s="143">
        <v>2250000</v>
      </c>
      <c r="F31" s="141" t="s">
        <v>159</v>
      </c>
    </row>
    <row r="32" spans="1:6" x14ac:dyDescent="0.2">
      <c r="B32" s="141" t="s">
        <v>182</v>
      </c>
      <c r="C32" s="141" t="s">
        <v>168</v>
      </c>
      <c r="D32" s="143">
        <v>750000</v>
      </c>
      <c r="E32" s="143">
        <v>750000</v>
      </c>
      <c r="F32" s="141" t="s">
        <v>159</v>
      </c>
    </row>
    <row r="33" spans="1:7" x14ac:dyDescent="0.2">
      <c r="B33" s="141" t="s">
        <v>183</v>
      </c>
      <c r="C33" s="141" t="s">
        <v>168</v>
      </c>
      <c r="D33" s="143">
        <v>4500000</v>
      </c>
      <c r="E33" s="143">
        <v>4500000</v>
      </c>
      <c r="F33" s="141" t="s">
        <v>159</v>
      </c>
    </row>
    <row r="34" spans="1:7" x14ac:dyDescent="0.2">
      <c r="B34" s="141" t="s">
        <v>184</v>
      </c>
      <c r="C34" s="141" t="s">
        <v>171</v>
      </c>
      <c r="D34" s="143">
        <v>3695898</v>
      </c>
      <c r="E34" s="143">
        <v>3695898</v>
      </c>
      <c r="F34" s="141" t="s">
        <v>159</v>
      </c>
    </row>
    <row r="35" spans="1:7" x14ac:dyDescent="0.2">
      <c r="B35" s="141" t="s">
        <v>185</v>
      </c>
      <c r="C35" s="141" t="s">
        <v>173</v>
      </c>
      <c r="D35" s="143">
        <v>2250015</v>
      </c>
      <c r="E35" s="143">
        <v>2250015</v>
      </c>
      <c r="F35" s="141" t="s">
        <v>159</v>
      </c>
    </row>
    <row r="36" spans="1:7" x14ac:dyDescent="0.2">
      <c r="B36" s="141" t="s">
        <v>186</v>
      </c>
      <c r="C36" s="141" t="s">
        <v>168</v>
      </c>
      <c r="D36" s="143">
        <v>1500000</v>
      </c>
      <c r="E36" s="143">
        <v>1500000</v>
      </c>
      <c r="F36" s="141" t="s">
        <v>159</v>
      </c>
    </row>
    <row r="37" spans="1:7" x14ac:dyDescent="0.2">
      <c r="B37" s="141" t="s">
        <v>187</v>
      </c>
      <c r="C37" s="141" t="s">
        <v>171</v>
      </c>
      <c r="D37" s="143">
        <v>1012500</v>
      </c>
      <c r="E37" s="143">
        <v>1012500</v>
      </c>
      <c r="F37" s="141" t="s">
        <v>159</v>
      </c>
    </row>
    <row r="38" spans="1:7" ht="13.5" thickBot="1" x14ac:dyDescent="0.25">
      <c r="B38" s="139" t="s">
        <v>188</v>
      </c>
      <c r="C38" s="139" t="s">
        <v>173</v>
      </c>
      <c r="D38" s="142">
        <v>2250000</v>
      </c>
      <c r="E38" s="142">
        <v>2250000</v>
      </c>
      <c r="F38" s="139" t="s">
        <v>159</v>
      </c>
    </row>
    <row r="41" spans="1:7" ht="13.5" thickBot="1" x14ac:dyDescent="0.25">
      <c r="A41" t="s">
        <v>160</v>
      </c>
    </row>
    <row r="42" spans="1:7" ht="13.5" thickBot="1" x14ac:dyDescent="0.25">
      <c r="B42" s="140" t="s">
        <v>154</v>
      </c>
      <c r="C42" s="140" t="s">
        <v>155</v>
      </c>
      <c r="D42" s="140" t="s">
        <v>161</v>
      </c>
      <c r="E42" s="140" t="s">
        <v>162</v>
      </c>
      <c r="F42" s="140" t="s">
        <v>163</v>
      </c>
      <c r="G42" s="140" t="s">
        <v>164</v>
      </c>
    </row>
    <row r="43" spans="1:7" x14ac:dyDescent="0.2">
      <c r="B43" s="141" t="s">
        <v>189</v>
      </c>
      <c r="C43" s="141" t="s">
        <v>190</v>
      </c>
      <c r="D43" s="143">
        <v>9375000</v>
      </c>
      <c r="E43" s="141" t="s">
        <v>191</v>
      </c>
      <c r="F43" s="141" t="s">
        <v>192</v>
      </c>
      <c r="G43" s="141">
        <v>6250000</v>
      </c>
    </row>
    <row r="44" spans="1:7" x14ac:dyDescent="0.2">
      <c r="B44" s="141" t="s">
        <v>193</v>
      </c>
      <c r="C44" s="141" t="s">
        <v>194</v>
      </c>
      <c r="D44" s="143">
        <v>12125000</v>
      </c>
      <c r="E44" s="141" t="s">
        <v>195</v>
      </c>
      <c r="F44" s="141" t="s">
        <v>196</v>
      </c>
      <c r="G44" s="141">
        <v>0</v>
      </c>
    </row>
    <row r="45" spans="1:7" x14ac:dyDescent="0.2">
      <c r="B45" s="141" t="s">
        <v>197</v>
      </c>
      <c r="C45" s="141" t="s">
        <v>198</v>
      </c>
      <c r="D45" s="143">
        <v>9525000</v>
      </c>
      <c r="E45" s="141" t="s">
        <v>199</v>
      </c>
      <c r="F45" s="141" t="s">
        <v>192</v>
      </c>
      <c r="G45" s="141">
        <v>6350000</v>
      </c>
    </row>
    <row r="46" spans="1:7" x14ac:dyDescent="0.2">
      <c r="B46" s="141" t="s">
        <v>200</v>
      </c>
      <c r="C46" s="141" t="s">
        <v>201</v>
      </c>
      <c r="D46" s="143">
        <v>5875000</v>
      </c>
      <c r="E46" s="141" t="s">
        <v>202</v>
      </c>
      <c r="F46" s="141" t="s">
        <v>196</v>
      </c>
      <c r="G46" s="141">
        <v>0</v>
      </c>
    </row>
    <row r="47" spans="1:7" x14ac:dyDescent="0.2">
      <c r="B47" s="141" t="s">
        <v>203</v>
      </c>
      <c r="C47" s="141" t="s">
        <v>204</v>
      </c>
      <c r="D47" s="143">
        <v>10445913</v>
      </c>
      <c r="E47" s="141" t="s">
        <v>205</v>
      </c>
      <c r="F47" s="141" t="s">
        <v>192</v>
      </c>
      <c r="G47" s="141">
        <v>5429087</v>
      </c>
    </row>
    <row r="48" spans="1:7" x14ac:dyDescent="0.2">
      <c r="B48" s="141" t="s">
        <v>206</v>
      </c>
      <c r="C48" s="141" t="s">
        <v>207</v>
      </c>
      <c r="D48" s="143">
        <v>4762500</v>
      </c>
      <c r="E48" s="141" t="s">
        <v>208</v>
      </c>
      <c r="F48" s="141" t="s">
        <v>192</v>
      </c>
      <c r="G48" s="141">
        <v>3175000</v>
      </c>
    </row>
    <row r="49" spans="2:7" x14ac:dyDescent="0.2">
      <c r="B49" s="141" t="s">
        <v>209</v>
      </c>
      <c r="C49" s="141" t="s">
        <v>210</v>
      </c>
      <c r="D49" s="143">
        <v>94999.999997000006</v>
      </c>
      <c r="E49" s="141" t="s">
        <v>211</v>
      </c>
      <c r="F49" s="141" t="s">
        <v>192</v>
      </c>
      <c r="G49" s="141">
        <v>2.9999937396496534E-6</v>
      </c>
    </row>
    <row r="50" spans="2:7" x14ac:dyDescent="0.2">
      <c r="B50" s="141" t="s">
        <v>167</v>
      </c>
      <c r="C50" s="141" t="s">
        <v>168</v>
      </c>
      <c r="D50" s="143">
        <v>4500000</v>
      </c>
      <c r="E50" s="141" t="s">
        <v>212</v>
      </c>
      <c r="F50" s="141" t="s">
        <v>196</v>
      </c>
      <c r="G50" s="143">
        <v>0</v>
      </c>
    </row>
    <row r="51" spans="2:7" x14ac:dyDescent="0.2">
      <c r="B51" s="141" t="s">
        <v>170</v>
      </c>
      <c r="C51" s="141" t="s">
        <v>171</v>
      </c>
      <c r="D51" s="143">
        <v>2625000</v>
      </c>
      <c r="E51" s="141" t="s">
        <v>213</v>
      </c>
      <c r="F51" s="141" t="s">
        <v>196</v>
      </c>
      <c r="G51" s="143">
        <v>0</v>
      </c>
    </row>
    <row r="52" spans="2:7" x14ac:dyDescent="0.2">
      <c r="B52" s="141" t="s">
        <v>172</v>
      </c>
      <c r="C52" s="141" t="s">
        <v>173</v>
      </c>
      <c r="D52" s="143">
        <v>2250000</v>
      </c>
      <c r="E52" s="141" t="s">
        <v>214</v>
      </c>
      <c r="F52" s="141" t="s">
        <v>196</v>
      </c>
      <c r="G52" s="143">
        <v>0</v>
      </c>
    </row>
    <row r="53" spans="2:7" x14ac:dyDescent="0.2">
      <c r="B53" s="141" t="s">
        <v>174</v>
      </c>
      <c r="C53" s="141" t="s">
        <v>168</v>
      </c>
      <c r="D53" s="143">
        <v>4500000</v>
      </c>
      <c r="E53" s="141" t="s">
        <v>215</v>
      </c>
      <c r="F53" s="141" t="s">
        <v>196</v>
      </c>
      <c r="G53" s="143">
        <v>0</v>
      </c>
    </row>
    <row r="54" spans="2:7" x14ac:dyDescent="0.2">
      <c r="B54" s="141" t="s">
        <v>175</v>
      </c>
      <c r="C54" s="141" t="s">
        <v>171</v>
      </c>
      <c r="D54" s="143">
        <v>2775000</v>
      </c>
      <c r="E54" s="141" t="s">
        <v>216</v>
      </c>
      <c r="F54" s="141" t="s">
        <v>196</v>
      </c>
      <c r="G54" s="143">
        <v>0</v>
      </c>
    </row>
    <row r="55" spans="2:7" x14ac:dyDescent="0.2">
      <c r="B55" s="141" t="s">
        <v>176</v>
      </c>
      <c r="C55" s="141" t="s">
        <v>173</v>
      </c>
      <c r="D55" s="143">
        <v>4850000</v>
      </c>
      <c r="E55" s="141" t="s">
        <v>217</v>
      </c>
      <c r="F55" s="141" t="s">
        <v>192</v>
      </c>
      <c r="G55" s="143">
        <v>4850000</v>
      </c>
    </row>
    <row r="56" spans="2:7" x14ac:dyDescent="0.2">
      <c r="B56" s="141" t="s">
        <v>177</v>
      </c>
      <c r="C56" s="141" t="s">
        <v>168</v>
      </c>
      <c r="D56" s="143">
        <v>4500000</v>
      </c>
      <c r="E56" s="141" t="s">
        <v>218</v>
      </c>
      <c r="F56" s="141" t="s">
        <v>196</v>
      </c>
      <c r="G56" s="143">
        <v>0</v>
      </c>
    </row>
    <row r="57" spans="2:7" x14ac:dyDescent="0.2">
      <c r="B57" s="141" t="s">
        <v>178</v>
      </c>
      <c r="C57" s="141" t="s">
        <v>171</v>
      </c>
      <c r="D57" s="143">
        <v>2775000</v>
      </c>
      <c r="E57" s="141" t="s">
        <v>219</v>
      </c>
      <c r="F57" s="141" t="s">
        <v>196</v>
      </c>
      <c r="G57" s="143">
        <v>0</v>
      </c>
    </row>
    <row r="58" spans="2:7" x14ac:dyDescent="0.2">
      <c r="B58" s="141" t="s">
        <v>179</v>
      </c>
      <c r="C58" s="141" t="s">
        <v>173</v>
      </c>
      <c r="D58" s="143">
        <v>2250000</v>
      </c>
      <c r="E58" s="141" t="s">
        <v>220</v>
      </c>
      <c r="F58" s="141" t="s">
        <v>196</v>
      </c>
      <c r="G58" s="143">
        <v>0</v>
      </c>
    </row>
    <row r="59" spans="2:7" x14ac:dyDescent="0.2">
      <c r="B59" s="141" t="s">
        <v>182</v>
      </c>
      <c r="C59" s="141" t="s">
        <v>168</v>
      </c>
      <c r="D59" s="143">
        <v>750000</v>
      </c>
      <c r="E59" s="141" t="s">
        <v>221</v>
      </c>
      <c r="F59" s="141" t="s">
        <v>196</v>
      </c>
      <c r="G59" s="143">
        <v>0</v>
      </c>
    </row>
    <row r="60" spans="2:7" x14ac:dyDescent="0.2">
      <c r="B60" s="141" t="s">
        <v>180</v>
      </c>
      <c r="C60" s="141" t="s">
        <v>171</v>
      </c>
      <c r="D60" s="143">
        <v>2875000</v>
      </c>
      <c r="E60" s="141" t="s">
        <v>222</v>
      </c>
      <c r="F60" s="141" t="s">
        <v>192</v>
      </c>
      <c r="G60" s="143">
        <v>2350000</v>
      </c>
    </row>
    <row r="61" spans="2:7" x14ac:dyDescent="0.2">
      <c r="B61" s="141" t="s">
        <v>181</v>
      </c>
      <c r="C61" s="141" t="s">
        <v>173</v>
      </c>
      <c r="D61" s="143">
        <v>2250000</v>
      </c>
      <c r="E61" s="141" t="s">
        <v>223</v>
      </c>
      <c r="F61" s="141" t="s">
        <v>196</v>
      </c>
      <c r="G61" s="143">
        <v>0</v>
      </c>
    </row>
    <row r="62" spans="2:7" x14ac:dyDescent="0.2">
      <c r="B62" s="141" t="s">
        <v>183</v>
      </c>
      <c r="C62" s="141" t="s">
        <v>168</v>
      </c>
      <c r="D62" s="143">
        <v>4500000</v>
      </c>
      <c r="E62" s="141" t="s">
        <v>224</v>
      </c>
      <c r="F62" s="141" t="s">
        <v>196</v>
      </c>
      <c r="G62" s="143">
        <v>0</v>
      </c>
    </row>
    <row r="63" spans="2:7" x14ac:dyDescent="0.2">
      <c r="B63" s="141" t="s">
        <v>184</v>
      </c>
      <c r="C63" s="141" t="s">
        <v>171</v>
      </c>
      <c r="D63" s="143">
        <v>3695898</v>
      </c>
      <c r="E63" s="141" t="s">
        <v>225</v>
      </c>
      <c r="F63" s="141" t="s">
        <v>192</v>
      </c>
      <c r="G63" s="143">
        <v>920898</v>
      </c>
    </row>
    <row r="64" spans="2:7" x14ac:dyDescent="0.2">
      <c r="B64" s="141" t="s">
        <v>185</v>
      </c>
      <c r="C64" s="141" t="s">
        <v>173</v>
      </c>
      <c r="D64" s="143">
        <v>2250015</v>
      </c>
      <c r="E64" s="141" t="s">
        <v>226</v>
      </c>
      <c r="F64" s="141" t="s">
        <v>192</v>
      </c>
      <c r="G64" s="143">
        <v>9</v>
      </c>
    </row>
    <row r="65" spans="2:7" x14ac:dyDescent="0.2">
      <c r="B65" s="141" t="s">
        <v>186</v>
      </c>
      <c r="C65" s="141" t="s">
        <v>168</v>
      </c>
      <c r="D65" s="143">
        <v>1500000</v>
      </c>
      <c r="E65" s="141" t="s">
        <v>227</v>
      </c>
      <c r="F65" s="141" t="s">
        <v>196</v>
      </c>
      <c r="G65" s="143">
        <v>0</v>
      </c>
    </row>
    <row r="66" spans="2:7" x14ac:dyDescent="0.2">
      <c r="B66" s="141" t="s">
        <v>187</v>
      </c>
      <c r="C66" s="141" t="s">
        <v>171</v>
      </c>
      <c r="D66" s="143">
        <v>1012500</v>
      </c>
      <c r="E66" s="141" t="s">
        <v>228</v>
      </c>
      <c r="F66" s="141" t="s">
        <v>196</v>
      </c>
      <c r="G66" s="143">
        <v>0</v>
      </c>
    </row>
    <row r="67" spans="2:7" x14ac:dyDescent="0.2">
      <c r="B67" s="141" t="s">
        <v>188</v>
      </c>
      <c r="C67" s="141" t="s">
        <v>173</v>
      </c>
      <c r="D67" s="143">
        <v>2250000</v>
      </c>
      <c r="E67" s="141" t="s">
        <v>229</v>
      </c>
      <c r="F67" s="141" t="s">
        <v>196</v>
      </c>
      <c r="G67" s="143">
        <v>0</v>
      </c>
    </row>
    <row r="68" spans="2:7" x14ac:dyDescent="0.2">
      <c r="B68" s="141" t="s">
        <v>230</v>
      </c>
      <c r="C68" s="141"/>
      <c r="D68" s="141"/>
      <c r="E68" s="141"/>
      <c r="F68" s="141"/>
      <c r="G68" s="141"/>
    </row>
    <row r="69" spans="2:7" x14ac:dyDescent="0.2">
      <c r="B69" s="141" t="s">
        <v>231</v>
      </c>
      <c r="C69" s="141"/>
      <c r="D69" s="141"/>
      <c r="E69" s="141"/>
      <c r="F69" s="141"/>
      <c r="G69" s="141"/>
    </row>
    <row r="70" spans="2:7" x14ac:dyDescent="0.2">
      <c r="B70" s="141" t="s">
        <v>232</v>
      </c>
      <c r="C70" s="141"/>
      <c r="D70" s="141"/>
      <c r="E70" s="141"/>
      <c r="F70" s="141"/>
      <c r="G70" s="141"/>
    </row>
    <row r="71" spans="2:7" x14ac:dyDescent="0.2">
      <c r="B71" s="141" t="s">
        <v>233</v>
      </c>
      <c r="C71" s="141"/>
      <c r="D71" s="141"/>
      <c r="E71" s="141"/>
      <c r="F71" s="141"/>
      <c r="G71" s="141"/>
    </row>
    <row r="72" spans="2:7" x14ac:dyDescent="0.2">
      <c r="B72" s="141" t="s">
        <v>234</v>
      </c>
      <c r="C72" s="141"/>
      <c r="D72" s="141"/>
      <c r="E72" s="141"/>
      <c r="F72" s="141"/>
      <c r="G72" s="141"/>
    </row>
    <row r="73" spans="2:7" ht="13.5" thickBot="1" x14ac:dyDescent="0.25">
      <c r="B73" s="139" t="s">
        <v>235</v>
      </c>
      <c r="C73" s="139"/>
      <c r="D73" s="139"/>
      <c r="E73" s="139"/>
      <c r="F73" s="139"/>
      <c r="G73" s="139"/>
    </row>
  </sheetData>
  <pageMargins left="0.25" right="0.25" top="0.75" bottom="0.75" header="0.3" footer="0.3"/>
  <pageSetup scale="91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27CB-0A8B-4BF7-A3B2-1B880DD48830}">
  <dimension ref="A1:AR90"/>
  <sheetViews>
    <sheetView showGridLines="0" topLeftCell="A48" zoomScale="60" zoomScaleNormal="60" workbookViewId="0">
      <selection activeCell="A48" sqref="A48"/>
    </sheetView>
  </sheetViews>
  <sheetFormatPr defaultRowHeight="12.75" x14ac:dyDescent="0.2"/>
  <cols>
    <col min="1" max="1" width="16.140625" style="1" customWidth="1"/>
    <col min="2" max="2" width="15.85546875" style="1" customWidth="1"/>
    <col min="3" max="3" width="14.42578125" style="1" customWidth="1"/>
    <col min="4" max="4" width="15.5703125" style="1" customWidth="1"/>
    <col min="5" max="5" width="18.85546875" style="1" customWidth="1"/>
    <col min="6" max="6" width="7.42578125" style="1" customWidth="1"/>
    <col min="7" max="8" width="12.7109375" style="1" customWidth="1"/>
    <col min="9" max="9" width="11.28515625" style="1" customWidth="1"/>
    <col min="10" max="10" width="7.42578125" style="1" customWidth="1"/>
    <col min="11" max="13" width="12.7109375" style="1" customWidth="1"/>
    <col min="14" max="14" width="7.42578125" style="1" customWidth="1"/>
    <col min="15" max="15" width="1.7109375" style="1" customWidth="1"/>
    <col min="16" max="16" width="6.85546875" style="1" bestFit="1" customWidth="1"/>
    <col min="17" max="17" width="12" style="1" bestFit="1" customWidth="1"/>
    <col min="18" max="18" width="1.7109375" style="1" customWidth="1"/>
    <col min="19" max="19" width="21.5703125" style="1" bestFit="1" customWidth="1"/>
    <col min="20" max="20" width="14.140625" style="1" bestFit="1" customWidth="1"/>
    <col min="21" max="21" width="1.7109375" style="1" customWidth="1"/>
    <col min="22" max="22" width="12.7109375" style="1" customWidth="1"/>
    <col min="23" max="23" width="16.42578125" style="1" customWidth="1"/>
    <col min="24" max="24" width="1.7109375" style="1" customWidth="1"/>
    <col min="25" max="26" width="12.7109375" style="1" customWidth="1"/>
    <col min="27" max="27" width="1.7109375" style="1" customWidth="1"/>
    <col min="28" max="28" width="17" style="1" hidden="1" customWidth="1"/>
    <col min="29" max="29" width="1.7109375" style="91" hidden="1" customWidth="1"/>
    <col min="30" max="31" width="17" style="1" hidden="1" customWidth="1"/>
    <col min="32" max="32" width="17" style="91" hidden="1" customWidth="1"/>
    <col min="33" max="34" width="17" style="1" hidden="1" customWidth="1"/>
    <col min="35" max="35" width="1.7109375" style="91" hidden="1" customWidth="1"/>
    <col min="36" max="38" width="17" style="1" hidden="1" customWidth="1"/>
    <col min="39" max="39" width="1.7109375" style="1" hidden="1" customWidth="1"/>
    <col min="40" max="40" width="20.5703125" style="1" customWidth="1"/>
    <col min="41" max="41" width="9.140625" style="1"/>
    <col min="42" max="42" width="22" style="1" customWidth="1"/>
    <col min="43" max="16384" width="9.140625" style="1"/>
  </cols>
  <sheetData>
    <row r="1" spans="1:8" hidden="1" x14ac:dyDescent="0.2"/>
    <row r="2" spans="1:8" hidden="1" x14ac:dyDescent="0.2">
      <c r="A2" s="2" t="s">
        <v>74</v>
      </c>
      <c r="B2" s="1" t="s">
        <v>79</v>
      </c>
    </row>
    <row r="3" spans="1:8" hidden="1" x14ac:dyDescent="0.2">
      <c r="A3" s="2" t="s">
        <v>75</v>
      </c>
      <c r="B3" s="1" t="s">
        <v>78</v>
      </c>
    </row>
    <row r="4" spans="1:8" hidden="1" x14ac:dyDescent="0.2">
      <c r="A4" s="2"/>
    </row>
    <row r="5" spans="1:8" hidden="1" x14ac:dyDescent="0.2">
      <c r="A5" s="3" t="s">
        <v>1</v>
      </c>
      <c r="B5" s="3"/>
      <c r="C5" s="3"/>
      <c r="D5" s="3"/>
      <c r="E5" s="3"/>
      <c r="F5" s="3"/>
      <c r="G5" s="3"/>
      <c r="H5" s="3"/>
    </row>
    <row r="6" spans="1:8" hidden="1" x14ac:dyDescent="0.2">
      <c r="A6" s="10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</row>
    <row r="7" spans="1:8" hidden="1" x14ac:dyDescent="0.2">
      <c r="A7" s="5" t="s">
        <v>9</v>
      </c>
      <c r="B7" s="11">
        <v>251.2</v>
      </c>
      <c r="C7" s="11">
        <v>49</v>
      </c>
      <c r="D7" s="11">
        <v>29.6</v>
      </c>
      <c r="E7" s="11">
        <v>193.2</v>
      </c>
      <c r="F7" s="11">
        <v>105.7</v>
      </c>
      <c r="G7" s="11">
        <v>5.5</v>
      </c>
    </row>
    <row r="8" spans="1:8" hidden="1" x14ac:dyDescent="0.2">
      <c r="A8" s="5" t="s">
        <v>10</v>
      </c>
      <c r="B8" s="12">
        <v>20</v>
      </c>
      <c r="C8" s="11">
        <v>39.4</v>
      </c>
      <c r="D8" s="11">
        <v>15.4</v>
      </c>
      <c r="E8" s="11">
        <v>20.399999999999999</v>
      </c>
      <c r="F8" s="11">
        <v>8.3000000000000007</v>
      </c>
      <c r="G8" s="11">
        <v>3.2</v>
      </c>
    </row>
    <row r="9" spans="1:8" hidden="1" x14ac:dyDescent="0.2">
      <c r="A9" s="5" t="s">
        <v>11</v>
      </c>
      <c r="B9" s="11">
        <v>248.8</v>
      </c>
      <c r="C9" s="11">
        <v>52.5</v>
      </c>
      <c r="D9" s="11">
        <v>36.700000000000003</v>
      </c>
      <c r="E9" s="12">
        <v>111</v>
      </c>
      <c r="F9" s="11">
        <v>94.2</v>
      </c>
      <c r="G9" s="11">
        <v>7.8</v>
      </c>
    </row>
    <row r="10" spans="1:8" hidden="1" x14ac:dyDescent="0.2">
      <c r="A10" s="5" t="s">
        <v>12</v>
      </c>
      <c r="B10" s="11">
        <v>51.1</v>
      </c>
      <c r="C10" s="12">
        <v>10</v>
      </c>
      <c r="D10" s="11">
        <v>13.6</v>
      </c>
      <c r="E10" s="12">
        <v>8</v>
      </c>
      <c r="F10" s="11">
        <v>29.9</v>
      </c>
      <c r="G10" s="11">
        <v>2.9</v>
      </c>
    </row>
    <row r="11" spans="1:8" hidden="1" x14ac:dyDescent="0.2">
      <c r="A11" s="5" t="s">
        <v>13</v>
      </c>
      <c r="E11" s="5" t="s">
        <v>14</v>
      </c>
    </row>
    <row r="12" spans="1:8" hidden="1" x14ac:dyDescent="0.2">
      <c r="B12" s="5"/>
      <c r="F12" s="5"/>
    </row>
    <row r="13" spans="1:8" hidden="1" x14ac:dyDescent="0.2">
      <c r="A13" s="3" t="s">
        <v>15</v>
      </c>
      <c r="B13" s="3"/>
      <c r="C13" s="3"/>
      <c r="D13" s="3"/>
      <c r="E13" s="3"/>
      <c r="F13" s="3"/>
      <c r="G13" s="3"/>
    </row>
    <row r="14" spans="1:8" hidden="1" x14ac:dyDescent="0.2">
      <c r="A14" s="5" t="s">
        <v>16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</row>
    <row r="15" spans="1:8" hidden="1" x14ac:dyDescent="0.2">
      <c r="A15" s="5" t="s">
        <v>23</v>
      </c>
      <c r="B15" s="13">
        <v>778144</v>
      </c>
      <c r="C15" s="13">
        <v>137801</v>
      </c>
      <c r="D15" s="13">
        <v>128410</v>
      </c>
      <c r="E15" s="13">
        <v>316425</v>
      </c>
      <c r="F15" s="13">
        <v>203907</v>
      </c>
      <c r="G15" s="13">
        <v>15595</v>
      </c>
    </row>
    <row r="16" spans="1:8" hidden="1" x14ac:dyDescent="0.2">
      <c r="A16" s="5" t="s">
        <v>24</v>
      </c>
      <c r="B16" s="13">
        <v>8009</v>
      </c>
      <c r="C16" s="13">
        <v>9361</v>
      </c>
      <c r="D16" s="13">
        <v>2932</v>
      </c>
      <c r="E16" s="13">
        <v>18994</v>
      </c>
      <c r="F16" s="13">
        <v>2204</v>
      </c>
      <c r="G16" s="13">
        <v>1496</v>
      </c>
    </row>
    <row r="17" spans="1:10" hidden="1" x14ac:dyDescent="0.2">
      <c r="A17" s="60" t="s">
        <v>25</v>
      </c>
      <c r="B17" s="61" t="s">
        <v>26</v>
      </c>
      <c r="C17" s="61" t="s">
        <v>27</v>
      </c>
      <c r="D17" s="61" t="s">
        <v>26</v>
      </c>
      <c r="E17" s="61" t="s">
        <v>26</v>
      </c>
      <c r="F17" s="61" t="s">
        <v>26</v>
      </c>
      <c r="G17" s="61" t="s">
        <v>26</v>
      </c>
    </row>
    <row r="18" spans="1:10" hidden="1" x14ac:dyDescent="0.2">
      <c r="A18" s="58" t="s">
        <v>86</v>
      </c>
      <c r="B18" s="59">
        <f>B16/B15</f>
        <v>1.0292439445655303E-2</v>
      </c>
      <c r="C18" s="59">
        <f t="shared" ref="C18" si="0">C16/C15</f>
        <v>6.7931292225745815E-2</v>
      </c>
      <c r="D18" s="59">
        <f>D16/D15</f>
        <v>2.2833112685927887E-2</v>
      </c>
      <c r="E18" s="59">
        <f>E16/E15</f>
        <v>6.0026862605672748E-2</v>
      </c>
      <c r="F18" s="59">
        <f>F16/F15</f>
        <v>1.0808849132202425E-2</v>
      </c>
      <c r="G18" s="59">
        <f>G16/G15</f>
        <v>9.5928182109650525E-2</v>
      </c>
    </row>
    <row r="19" spans="1:10" hidden="1" x14ac:dyDescent="0.2">
      <c r="A19" s="5" t="s">
        <v>32</v>
      </c>
    </row>
    <row r="20" spans="1:10" hidden="1" x14ac:dyDescent="0.2">
      <c r="A20" s="5"/>
    </row>
    <row r="21" spans="1:10" hidden="1" x14ac:dyDescent="0.2">
      <c r="A21" s="5" t="s">
        <v>35</v>
      </c>
      <c r="H21" s="5" t="s">
        <v>0</v>
      </c>
    </row>
    <row r="22" spans="1:10" hidden="1" x14ac:dyDescent="0.2">
      <c r="A22" s="3" t="s">
        <v>36</v>
      </c>
      <c r="B22" s="3"/>
      <c r="C22" s="3"/>
      <c r="D22" s="3"/>
      <c r="E22" s="3"/>
      <c r="F22" s="3"/>
      <c r="G22" s="3"/>
      <c r="H22" s="3"/>
    </row>
    <row r="23" spans="1:10" hidden="1" x14ac:dyDescent="0.2">
      <c r="B23" s="5" t="s">
        <v>3</v>
      </c>
      <c r="C23" s="5" t="s">
        <v>4</v>
      </c>
      <c r="D23" s="5" t="s">
        <v>5</v>
      </c>
      <c r="E23" s="5" t="s">
        <v>6</v>
      </c>
      <c r="F23" s="5" t="s">
        <v>7</v>
      </c>
      <c r="G23" s="5" t="s">
        <v>8</v>
      </c>
      <c r="H23" s="5" t="s">
        <v>43</v>
      </c>
    </row>
    <row r="24" spans="1:10" hidden="1" x14ac:dyDescent="0.2">
      <c r="A24" s="5" t="s">
        <v>44</v>
      </c>
    </row>
    <row r="25" spans="1:10" hidden="1" x14ac:dyDescent="0.2">
      <c r="A25" s="5" t="s">
        <v>33</v>
      </c>
      <c r="B25" s="13">
        <v>6000000</v>
      </c>
      <c r="C25" s="13">
        <v>6000000</v>
      </c>
      <c r="D25" s="13">
        <v>6000000</v>
      </c>
      <c r="E25" s="13">
        <v>1000000</v>
      </c>
      <c r="F25" s="13">
        <v>6000000</v>
      </c>
      <c r="G25" s="13">
        <v>2000000</v>
      </c>
      <c r="H25" s="13">
        <v>27000000</v>
      </c>
    </row>
    <row r="26" spans="1:10" hidden="1" x14ac:dyDescent="0.2">
      <c r="A26" s="5" t="s">
        <v>46</v>
      </c>
      <c r="B26" s="14">
        <v>0.53</v>
      </c>
      <c r="C26" s="14">
        <v>0.88</v>
      </c>
      <c r="D26" s="14">
        <v>0.6</v>
      </c>
      <c r="E26" s="14">
        <v>0.56999999999999995</v>
      </c>
      <c r="F26" s="14">
        <v>0.56000000000000005</v>
      </c>
      <c r="G26" s="14">
        <v>0.71</v>
      </c>
      <c r="H26" s="14">
        <v>0.64</v>
      </c>
      <c r="J26" s="6"/>
    </row>
    <row r="27" spans="1:10" hidden="1" x14ac:dyDescent="0.2">
      <c r="A27" s="5" t="s">
        <v>47</v>
      </c>
      <c r="B27" s="15">
        <v>3180</v>
      </c>
      <c r="C27" s="15">
        <v>5280</v>
      </c>
      <c r="D27" s="15">
        <v>3600</v>
      </c>
      <c r="E27" s="15">
        <v>570</v>
      </c>
      <c r="F27" s="15">
        <v>3360</v>
      </c>
      <c r="G27" s="15">
        <v>1420</v>
      </c>
      <c r="H27" s="15">
        <v>17410</v>
      </c>
    </row>
    <row r="28" spans="1:10" hidden="1" x14ac:dyDescent="0.2">
      <c r="A28" s="5" t="s">
        <v>48</v>
      </c>
    </row>
    <row r="29" spans="1:10" hidden="1" x14ac:dyDescent="0.2">
      <c r="A29" s="5" t="s">
        <v>33</v>
      </c>
      <c r="B29" s="13">
        <v>3500000</v>
      </c>
      <c r="C29" s="13">
        <v>3700000</v>
      </c>
      <c r="D29" s="13">
        <v>3700000</v>
      </c>
      <c r="E29" s="13">
        <v>700000</v>
      </c>
      <c r="F29" s="13">
        <v>3700000</v>
      </c>
      <c r="G29" s="13">
        <v>1350000</v>
      </c>
      <c r="H29" s="13">
        <v>16650000</v>
      </c>
    </row>
    <row r="30" spans="1:10" hidden="1" x14ac:dyDescent="0.2">
      <c r="A30" s="5" t="s">
        <v>46</v>
      </c>
      <c r="B30" s="14">
        <v>4.41</v>
      </c>
      <c r="C30" s="14">
        <v>5.25</v>
      </c>
      <c r="D30" s="14">
        <v>3.22</v>
      </c>
      <c r="E30" s="14">
        <v>4.41</v>
      </c>
      <c r="F30" s="14">
        <v>3.85</v>
      </c>
      <c r="G30" s="14">
        <v>5.6</v>
      </c>
      <c r="H30" s="14">
        <v>4.3</v>
      </c>
    </row>
    <row r="31" spans="1:10" hidden="1" x14ac:dyDescent="0.2">
      <c r="A31" s="5" t="s">
        <v>47</v>
      </c>
      <c r="B31" s="15">
        <v>15435</v>
      </c>
      <c r="C31" s="15">
        <v>19425</v>
      </c>
      <c r="D31" s="15">
        <v>11914</v>
      </c>
      <c r="E31" s="15">
        <v>3087</v>
      </c>
      <c r="F31" s="15">
        <v>14245</v>
      </c>
      <c r="G31" s="15">
        <v>7560</v>
      </c>
      <c r="H31" s="15">
        <v>71666</v>
      </c>
    </row>
    <row r="32" spans="1:10" hidden="1" x14ac:dyDescent="0.2">
      <c r="A32" s="5" t="s">
        <v>52</v>
      </c>
    </row>
    <row r="33" spans="1:14" ht="12.75" hidden="1" customHeight="1" x14ac:dyDescent="0.2">
      <c r="A33" s="5" t="s">
        <v>33</v>
      </c>
      <c r="B33" s="13">
        <v>3000000</v>
      </c>
      <c r="C33" s="5" t="s">
        <v>34</v>
      </c>
      <c r="D33" s="13">
        <v>3000000</v>
      </c>
      <c r="E33" s="13">
        <v>3000000</v>
      </c>
      <c r="F33" s="13">
        <v>3000000</v>
      </c>
      <c r="G33" s="13">
        <v>3000000</v>
      </c>
      <c r="H33" s="13">
        <v>15000000</v>
      </c>
      <c r="I33" s="148" t="s">
        <v>84</v>
      </c>
      <c r="J33" s="148"/>
      <c r="K33" s="148"/>
      <c r="L33" s="29"/>
    </row>
    <row r="34" spans="1:14" hidden="1" x14ac:dyDescent="0.2">
      <c r="A34" s="5" t="s">
        <v>46</v>
      </c>
      <c r="B34" s="14">
        <v>0.4</v>
      </c>
      <c r="C34" s="5" t="s">
        <v>34</v>
      </c>
      <c r="D34" s="14">
        <v>0.4</v>
      </c>
      <c r="E34" s="14">
        <v>0.4</v>
      </c>
      <c r="F34" s="14">
        <v>0.4</v>
      </c>
      <c r="G34" s="14">
        <v>0.4</v>
      </c>
      <c r="H34" s="14">
        <v>0.4</v>
      </c>
      <c r="I34" s="148"/>
      <c r="J34" s="148"/>
      <c r="K34" s="148"/>
      <c r="L34" s="29"/>
    </row>
    <row r="35" spans="1:14" hidden="1" x14ac:dyDescent="0.2">
      <c r="A35" s="5" t="s">
        <v>47</v>
      </c>
      <c r="B35" s="15">
        <v>1200</v>
      </c>
      <c r="C35" s="5" t="s">
        <v>34</v>
      </c>
      <c r="D35" s="15">
        <v>1200</v>
      </c>
      <c r="E35" s="15">
        <v>1200</v>
      </c>
      <c r="F35" s="15">
        <v>1200</v>
      </c>
      <c r="G35" s="15">
        <v>1200</v>
      </c>
      <c r="H35" s="15">
        <v>6000</v>
      </c>
      <c r="I35" s="148"/>
      <c r="J35" s="148"/>
      <c r="K35" s="148"/>
      <c r="L35" s="29"/>
    </row>
    <row r="36" spans="1:14" ht="13.5" hidden="1" thickBot="1" x14ac:dyDescent="0.25">
      <c r="A36" s="5" t="s">
        <v>59</v>
      </c>
    </row>
    <row r="37" spans="1:14" hidden="1" x14ac:dyDescent="0.2">
      <c r="A37" s="5" t="s">
        <v>33</v>
      </c>
      <c r="B37" s="13">
        <v>12500000</v>
      </c>
      <c r="C37" s="13">
        <v>9700000</v>
      </c>
      <c r="D37" s="13">
        <v>12700000</v>
      </c>
      <c r="E37" s="13">
        <v>4700000</v>
      </c>
      <c r="F37" s="13">
        <v>12700000</v>
      </c>
      <c r="G37" s="13">
        <v>6350000</v>
      </c>
      <c r="H37" s="13">
        <v>58650000</v>
      </c>
      <c r="I37" s="149" t="s">
        <v>77</v>
      </c>
      <c r="J37" s="150"/>
    </row>
    <row r="38" spans="1:14" ht="13.5" hidden="1" thickBot="1" x14ac:dyDescent="0.25">
      <c r="A38" s="5" t="s">
        <v>47</v>
      </c>
      <c r="B38" s="15">
        <v>19815</v>
      </c>
      <c r="C38" s="15">
        <v>24705</v>
      </c>
      <c r="D38" s="15">
        <v>16714</v>
      </c>
      <c r="E38" s="15">
        <v>4857</v>
      </c>
      <c r="F38" s="15">
        <v>18805</v>
      </c>
      <c r="G38" s="15">
        <v>10180</v>
      </c>
      <c r="H38" s="15">
        <v>95076</v>
      </c>
      <c r="I38" s="40">
        <f>H38*1.09</f>
        <v>103632.84000000001</v>
      </c>
      <c r="J38" s="41"/>
    </row>
    <row r="39" spans="1:14" hidden="1" x14ac:dyDescent="0.2"/>
    <row r="40" spans="1:14" hidden="1" x14ac:dyDescent="0.2">
      <c r="A40" s="3" t="s">
        <v>76</v>
      </c>
      <c r="B40" s="3"/>
      <c r="C40" s="3"/>
      <c r="D40" s="3"/>
      <c r="E40" s="3"/>
      <c r="F40" s="3"/>
      <c r="G40" s="3"/>
    </row>
    <row r="41" spans="1:14" hidden="1" x14ac:dyDescent="0.2">
      <c r="D41" s="5"/>
    </row>
    <row r="42" spans="1:14" hidden="1" x14ac:dyDescent="0.2">
      <c r="A42" s="5" t="s">
        <v>62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</row>
    <row r="43" spans="1:14" ht="13.5" hidden="1" thickBot="1" x14ac:dyDescent="0.25">
      <c r="A43" s="5" t="s">
        <v>69</v>
      </c>
      <c r="B43" s="16">
        <v>8.9999999999999998E-4</v>
      </c>
      <c r="C43" s="16">
        <v>8.0000000000000004E-4</v>
      </c>
      <c r="D43" s="16">
        <v>1.1000000000000001E-3</v>
      </c>
      <c r="E43" s="16">
        <v>1.1999999999999999E-3</v>
      </c>
      <c r="F43" s="16">
        <v>1.1000000000000001E-3</v>
      </c>
      <c r="G43" s="16">
        <v>1.1999999999999999E-3</v>
      </c>
    </row>
    <row r="44" spans="1:14" ht="12.75" hidden="1" customHeight="1" x14ac:dyDescent="0.2">
      <c r="A44" s="5" t="s">
        <v>70</v>
      </c>
      <c r="B44" s="16">
        <v>4.3E-3</v>
      </c>
      <c r="C44" s="16">
        <v>2.3E-3</v>
      </c>
      <c r="D44" s="16">
        <v>3.2000000000000002E-3</v>
      </c>
      <c r="E44" s="16">
        <v>5.8999999999999999E-3</v>
      </c>
      <c r="F44" s="16">
        <v>4.7999999999999996E-3</v>
      </c>
      <c r="G44" s="16">
        <v>3.3999999999999998E-3</v>
      </c>
      <c r="L44" s="151" t="s">
        <v>83</v>
      </c>
      <c r="M44" s="7">
        <v>1.25</v>
      </c>
      <c r="N44" s="1" t="s">
        <v>87</v>
      </c>
    </row>
    <row r="45" spans="1:14" ht="13.5" hidden="1" thickBot="1" x14ac:dyDescent="0.25">
      <c r="A45" s="5" t="s">
        <v>71</v>
      </c>
      <c r="B45" s="11">
        <v>12.9</v>
      </c>
      <c r="C45" s="11">
        <v>41.1</v>
      </c>
      <c r="D45" s="11">
        <v>21.4</v>
      </c>
      <c r="E45" s="11">
        <v>26.5</v>
      </c>
      <c r="F45" s="11">
        <v>32.4</v>
      </c>
      <c r="G45" s="11">
        <v>20.6</v>
      </c>
      <c r="L45" s="152"/>
      <c r="M45" s="8">
        <v>0.75</v>
      </c>
      <c r="N45" s="1" t="s">
        <v>88</v>
      </c>
    </row>
    <row r="46" spans="1:14" hidden="1" x14ac:dyDescent="0.2">
      <c r="A46" s="5" t="s">
        <v>72</v>
      </c>
      <c r="B46" s="16">
        <v>1.9599999999999999E-2</v>
      </c>
      <c r="C46" s="16">
        <v>2.3900000000000001E-2</v>
      </c>
      <c r="D46" s="16">
        <v>1.8200000000000001E-2</v>
      </c>
      <c r="E46" s="16">
        <v>2.64E-2</v>
      </c>
      <c r="F46" s="16">
        <v>1.8100000000000002E-2</v>
      </c>
      <c r="G46" s="16">
        <v>1.83E-2</v>
      </c>
    </row>
    <row r="47" spans="1:14" hidden="1" x14ac:dyDescent="0.2">
      <c r="A47" s="5" t="s">
        <v>73</v>
      </c>
      <c r="B47" s="16">
        <v>5.0000000000000001E-4</v>
      </c>
      <c r="C47" s="16">
        <v>5.0000000000000001E-4</v>
      </c>
      <c r="D47" s="16">
        <v>5.0000000000000001E-4</v>
      </c>
      <c r="E47" s="16">
        <v>5.0000000000000001E-4</v>
      </c>
      <c r="F47" s="16">
        <v>5.0000000000000001E-4</v>
      </c>
      <c r="G47" s="16">
        <v>5.0000000000000001E-4</v>
      </c>
    </row>
    <row r="48" spans="1:14" x14ac:dyDescent="0.2">
      <c r="A48" s="5"/>
      <c r="B48" s="16"/>
      <c r="C48" s="16"/>
      <c r="D48" s="16"/>
      <c r="E48" s="16"/>
      <c r="F48" s="16"/>
      <c r="G48" s="16"/>
    </row>
    <row r="49" spans="1:44" x14ac:dyDescent="0.2">
      <c r="A49" s="5"/>
      <c r="B49" s="16"/>
      <c r="C49" s="16"/>
      <c r="D49" s="16"/>
      <c r="E49" s="16"/>
      <c r="F49" s="16"/>
      <c r="G49" s="16"/>
    </row>
    <row r="50" spans="1:44" ht="31.5" customHeight="1" x14ac:dyDescent="0.2">
      <c r="A50" s="103" t="s">
        <v>121</v>
      </c>
      <c r="B50" s="102">
        <f>H85</f>
        <v>134121.209154276</v>
      </c>
      <c r="C50" s="53"/>
      <c r="D50" s="53"/>
      <c r="E50" s="16"/>
      <c r="F50" s="16"/>
      <c r="L50" s="16"/>
      <c r="V50" s="155" t="s">
        <v>134</v>
      </c>
      <c r="W50" s="155"/>
      <c r="X50" s="155"/>
      <c r="Y50" s="155"/>
      <c r="Z50" s="155"/>
    </row>
    <row r="51" spans="1:44" ht="4.5" customHeight="1" x14ac:dyDescent="0.2">
      <c r="A51" s="79"/>
      <c r="B51" s="64"/>
      <c r="C51" s="53"/>
      <c r="D51" s="53"/>
      <c r="E51" s="16"/>
      <c r="F51" s="16"/>
      <c r="L51" s="16"/>
    </row>
    <row r="52" spans="1:44" hidden="1" x14ac:dyDescent="0.2">
      <c r="A52" s="65" t="s">
        <v>120</v>
      </c>
      <c r="B52" s="108"/>
      <c r="C52" s="109"/>
      <c r="D52" s="99"/>
      <c r="E52" s="99"/>
      <c r="F52" s="99"/>
      <c r="L52" s="16"/>
    </row>
    <row r="53" spans="1:44" hidden="1" x14ac:dyDescent="0.2">
      <c r="A53" s="70" t="s">
        <v>116</v>
      </c>
      <c r="B53" s="106"/>
      <c r="C53" s="110"/>
      <c r="D53" s="99"/>
      <c r="E53" s="99"/>
      <c r="F53" s="99"/>
      <c r="L53" s="16"/>
    </row>
    <row r="54" spans="1:44" hidden="1" x14ac:dyDescent="0.2">
      <c r="A54" s="100" t="s">
        <v>117</v>
      </c>
      <c r="B54" s="106"/>
      <c r="C54" s="111"/>
      <c r="D54" s="99"/>
      <c r="E54" s="99"/>
      <c r="F54" s="99"/>
      <c r="L54" s="16"/>
    </row>
    <row r="55" spans="1:44" hidden="1" x14ac:dyDescent="0.2">
      <c r="A55" s="100" t="s">
        <v>118</v>
      </c>
      <c r="B55" s="106"/>
      <c r="C55" s="111"/>
      <c r="D55" s="99"/>
      <c r="E55" s="99"/>
      <c r="F55" s="99"/>
      <c r="L55" s="16"/>
    </row>
    <row r="56" spans="1:44" ht="13.5" hidden="1" thickBot="1" x14ac:dyDescent="0.25">
      <c r="A56" s="101" t="s">
        <v>119</v>
      </c>
      <c r="B56" s="112"/>
      <c r="C56" s="113"/>
      <c r="D56" s="99"/>
      <c r="E56" s="99"/>
      <c r="F56" s="99"/>
      <c r="L56" s="16"/>
    </row>
    <row r="57" spans="1:44" ht="13.5" thickBot="1" x14ac:dyDescent="0.25">
      <c r="A57" s="5"/>
      <c r="B57" s="16"/>
      <c r="C57" s="53"/>
      <c r="D57" s="53"/>
      <c r="E57" s="16"/>
      <c r="F57" s="16"/>
      <c r="Q57" s="16"/>
      <c r="W57" s="16"/>
      <c r="AL57" s="31"/>
    </row>
    <row r="58" spans="1:44" ht="13.5" thickBot="1" x14ac:dyDescent="0.25">
      <c r="A58" s="50"/>
      <c r="B58" s="50"/>
      <c r="C58" s="153" t="s">
        <v>101</v>
      </c>
      <c r="D58" s="153"/>
      <c r="E58" s="153"/>
      <c r="F58" s="153"/>
      <c r="G58" s="153" t="s">
        <v>102</v>
      </c>
      <c r="H58" s="153"/>
      <c r="I58" s="153"/>
      <c r="J58" s="153"/>
      <c r="K58" s="153" t="s">
        <v>107</v>
      </c>
      <c r="L58" s="153"/>
      <c r="M58" s="153"/>
      <c r="N58" s="153"/>
      <c r="Q58" s="122"/>
      <c r="S58" s="96"/>
      <c r="T58" s="121"/>
      <c r="V58" s="154" t="s">
        <v>101</v>
      </c>
      <c r="W58" s="147"/>
      <c r="Y58" s="147" t="s">
        <v>107</v>
      </c>
      <c r="Z58" s="147"/>
      <c r="AC58" s="92"/>
      <c r="AD58" s="26">
        <f>AVERAGE(AD72,AD80,AD76,AD68,AD64,AD60)</f>
        <v>19.25</v>
      </c>
      <c r="AE58" s="26">
        <f>AVERAGE(AE72,AE80,AE76,AE68,AE64,AE60)</f>
        <v>263380.33333333331</v>
      </c>
      <c r="AF58" s="96"/>
      <c r="AG58" s="26">
        <f>AVERAGE(AG72,AG80,AG76,AG68,AG64,AG60)</f>
        <v>7166</v>
      </c>
      <c r="AH58" s="27">
        <f>AVERAGE(AH72,AH80,AH76,AH68,AH64,AH60)</f>
        <v>4.4636789700809115E-2</v>
      </c>
      <c r="AI58" s="92"/>
      <c r="AJ58" s="26">
        <f>AVERAGE(AJ72,AJ80,AJ76,AJ68,AJ64,AJ60)</f>
        <v>105.7</v>
      </c>
      <c r="AK58" s="26">
        <f t="shared" ref="AK58:AL58" si="1">AVERAGE(AK72,AK80,AK76,AK68,AK64,AK60)</f>
        <v>17.783333333333331</v>
      </c>
      <c r="AL58" s="26">
        <f t="shared" si="1"/>
        <v>91.833333333333329</v>
      </c>
    </row>
    <row r="59" spans="1:44" ht="26.25" thickBot="1" x14ac:dyDescent="0.25">
      <c r="A59" s="86" t="s">
        <v>85</v>
      </c>
      <c r="B59" s="82" t="s">
        <v>105</v>
      </c>
      <c r="C59" s="80" t="s">
        <v>97</v>
      </c>
      <c r="D59" s="81" t="s">
        <v>96</v>
      </c>
      <c r="E59" s="81" t="s">
        <v>99</v>
      </c>
      <c r="F59" s="82" t="s">
        <v>100</v>
      </c>
      <c r="G59" s="80" t="s">
        <v>97</v>
      </c>
      <c r="H59" s="81" t="s">
        <v>96</v>
      </c>
      <c r="I59" s="81" t="s">
        <v>99</v>
      </c>
      <c r="J59" s="82" t="s">
        <v>100</v>
      </c>
      <c r="K59" s="83" t="s">
        <v>97</v>
      </c>
      <c r="L59" s="84" t="s">
        <v>96</v>
      </c>
      <c r="M59" s="84" t="s">
        <v>99</v>
      </c>
      <c r="N59" s="85" t="s">
        <v>100</v>
      </c>
      <c r="P59" s="80" t="s">
        <v>115</v>
      </c>
      <c r="Q59" s="82" t="s">
        <v>113</v>
      </c>
      <c r="S59" s="24" t="s">
        <v>71</v>
      </c>
      <c r="T59" s="24" t="s">
        <v>72</v>
      </c>
      <c r="V59" s="80" t="s">
        <v>111</v>
      </c>
      <c r="W59" s="81" t="s">
        <v>112</v>
      </c>
      <c r="Y59" s="80" t="s">
        <v>111</v>
      </c>
      <c r="Z59" s="80" t="s">
        <v>114</v>
      </c>
      <c r="AB59" s="24" t="s">
        <v>69</v>
      </c>
      <c r="AC59" s="93"/>
      <c r="AD59" s="24" t="s">
        <v>12</v>
      </c>
      <c r="AE59" s="24" t="s">
        <v>23</v>
      </c>
      <c r="AF59" s="93"/>
      <c r="AG59" s="24" t="s">
        <v>24</v>
      </c>
      <c r="AH59" s="24" t="s">
        <v>86</v>
      </c>
      <c r="AI59" s="93"/>
      <c r="AJ59" s="24" t="s">
        <v>9</v>
      </c>
      <c r="AK59" s="24" t="s">
        <v>10</v>
      </c>
      <c r="AL59" s="24" t="s">
        <v>11</v>
      </c>
    </row>
    <row r="60" spans="1:44" x14ac:dyDescent="0.2">
      <c r="A60" s="18" t="s">
        <v>3</v>
      </c>
      <c r="B60" s="22"/>
      <c r="C60" s="46">
        <f>SUM(C61:C63)</f>
        <v>12500000</v>
      </c>
      <c r="D60" s="54">
        <f>SUM(D61:D63)</f>
        <v>9375000</v>
      </c>
      <c r="E60" s="54">
        <f t="shared" ref="E60:E83" si="2">IFERROR(D60-C60,0)</f>
        <v>-3125000</v>
      </c>
      <c r="F60" s="23">
        <f t="shared" ref="F60:F66" si="3">E60/C60</f>
        <v>-0.25</v>
      </c>
      <c r="G60" s="54">
        <f>SUM(G61:G63)</f>
        <v>26134.501999999997</v>
      </c>
      <c r="H60" s="54">
        <f>SUM(H61:H63)</f>
        <v>19600.876499999998</v>
      </c>
      <c r="I60" s="54">
        <f>IFERROR(H60-G60,0)</f>
        <v>-6533.6254999999983</v>
      </c>
      <c r="J60" s="23">
        <f>I60/G60</f>
        <v>-0.24999999999999997</v>
      </c>
      <c r="K60" s="54">
        <f>SUM(K61:K63)</f>
        <v>19815</v>
      </c>
      <c r="L60" s="54">
        <f>SUM(L61:L63)</f>
        <v>14861.25</v>
      </c>
      <c r="M60" s="54">
        <f>IFERROR(L60-K60,0)</f>
        <v>-4953.75</v>
      </c>
      <c r="N60" s="23">
        <f>M60/K60</f>
        <v>-0.25</v>
      </c>
      <c r="S60" s="21">
        <f>INDEX($B$7:$B$47,MATCH(S$59,$A$7:$A$47,0))</f>
        <v>12.9</v>
      </c>
      <c r="T60" s="25">
        <f>INDEX($B$7:$B$47,MATCH(T$59,$A$7:$A$47,0))</f>
        <v>1.9599999999999999E-2</v>
      </c>
      <c r="V60" s="32" t="s">
        <v>90</v>
      </c>
      <c r="W60" s="1">
        <f>C60*1.25</f>
        <v>15625000</v>
      </c>
      <c r="Y60" s="31" t="s">
        <v>90</v>
      </c>
      <c r="Z60" s="37">
        <v>95000</v>
      </c>
      <c r="AB60" s="28">
        <f>AVERAGE(P73,P81,P77,P69,P65,P61)</f>
        <v>1.0499999999999999E-3</v>
      </c>
      <c r="AC60" s="94"/>
      <c r="AD60" s="19">
        <f>INDEX($B$7:$B$47,MATCH(AD$59,$A$7:$A$47,0))</f>
        <v>51.1</v>
      </c>
      <c r="AE60" s="19">
        <f>INDEX($B$7:$B$47,MATCH(AE$59,$A$7:$A$47,0))</f>
        <v>778144</v>
      </c>
      <c r="AF60" s="97">
        <f>AE60/(AD60*1000000)</f>
        <v>1.5227866927592955E-2</v>
      </c>
      <c r="AG60" s="19">
        <f>INDEX($B$7:$B$47,MATCH(AG$59,$A$7:$A$47,0))</f>
        <v>8009</v>
      </c>
      <c r="AH60" s="20">
        <f>INDEX($B$7:$B$47,MATCH(AH$59,$A$7:$A$47,0))</f>
        <v>1.0292439445655303E-2</v>
      </c>
      <c r="AI60" s="94"/>
      <c r="AJ60" s="19">
        <f>INDEX($B$7:$B$47,MATCH(AJ$59,$A$7:$A$47,0))</f>
        <v>251.2</v>
      </c>
      <c r="AK60" s="19">
        <f>INDEX($B$7:$B$47,MATCH(AK$59,$A$7:$A$47,0))</f>
        <v>20</v>
      </c>
      <c r="AL60" s="19">
        <f>INDEX($B$7:$B$47,MATCH(AL$59,$A$7:$A$47,0))</f>
        <v>248.8</v>
      </c>
    </row>
    <row r="61" spans="1:44" x14ac:dyDescent="0.2">
      <c r="A61" s="5" t="s">
        <v>3</v>
      </c>
      <c r="B61" s="5" t="s">
        <v>44</v>
      </c>
      <c r="C61" s="13">
        <f>$B$25</f>
        <v>6000000</v>
      </c>
      <c r="D61" s="43">
        <v>4500000</v>
      </c>
      <c r="E61" s="37">
        <f t="shared" si="2"/>
        <v>-1500000</v>
      </c>
      <c r="F61" s="4">
        <f t="shared" si="3"/>
        <v>-0.25</v>
      </c>
      <c r="G61" s="37">
        <f>C61*P61</f>
        <v>5400</v>
      </c>
      <c r="H61" s="37">
        <f>D61*P61</f>
        <v>4050</v>
      </c>
      <c r="I61" s="37">
        <f t="shared" ref="I61:I83" si="4">IFERROR(H61-G61,0)</f>
        <v>-1350</v>
      </c>
      <c r="J61" s="4">
        <f t="shared" ref="J61:J85" si="5">I61/G61</f>
        <v>-0.25</v>
      </c>
      <c r="K61" s="37">
        <f>Q61*(C61/1000)</f>
        <v>3180</v>
      </c>
      <c r="L61" s="37">
        <f>Q61*(D61/1000)</f>
        <v>2385</v>
      </c>
      <c r="M61" s="37">
        <f t="shared" ref="M61:M83" si="6">IFERROR(L61-K61,0)</f>
        <v>-795</v>
      </c>
      <c r="N61" s="4">
        <f t="shared" ref="N61:N66" si="7">M61/K61</f>
        <v>-0.25</v>
      </c>
      <c r="P61" s="90">
        <f>INDEX($B$7:$B$47,MATCH(AB$59,$A$7:$A$47,0))</f>
        <v>8.9999999999999998E-4</v>
      </c>
      <c r="Q61" s="34">
        <f>$B$26</f>
        <v>0.53</v>
      </c>
      <c r="T61" s="16"/>
      <c r="V61" s="33" t="s">
        <v>89</v>
      </c>
      <c r="W61" s="1">
        <f>C61*0.75</f>
        <v>4500000</v>
      </c>
      <c r="AB61" s="24" t="s">
        <v>70</v>
      </c>
      <c r="AF61" s="98"/>
      <c r="AN61" s="16"/>
      <c r="AO61" s="16"/>
      <c r="AR61" s="16"/>
    </row>
    <row r="62" spans="1:44" x14ac:dyDescent="0.2">
      <c r="A62" s="5" t="s">
        <v>3</v>
      </c>
      <c r="B62" s="5" t="s">
        <v>48</v>
      </c>
      <c r="C62" s="13">
        <f>$B$29</f>
        <v>3500000</v>
      </c>
      <c r="D62" s="43">
        <v>2625000</v>
      </c>
      <c r="E62" s="37">
        <f t="shared" si="2"/>
        <v>-875000</v>
      </c>
      <c r="F62" s="4">
        <f t="shared" si="3"/>
        <v>-0.25</v>
      </c>
      <c r="G62" s="37">
        <f>C62*P62+C62*P62*S60*T60</f>
        <v>18855.241999999998</v>
      </c>
      <c r="H62" s="37">
        <f>D62*P62+D62*P62*S60*T60</f>
        <v>14141.431499999999</v>
      </c>
      <c r="I62" s="37">
        <f t="shared" si="4"/>
        <v>-4713.8104999999996</v>
      </c>
      <c r="J62" s="4">
        <f t="shared" si="5"/>
        <v>-0.25</v>
      </c>
      <c r="K62" s="37">
        <f>Q62*(C62/1000)</f>
        <v>15435</v>
      </c>
      <c r="L62" s="37">
        <f>Q62*(D62/1000)</f>
        <v>11576.25</v>
      </c>
      <c r="M62" s="37">
        <f t="shared" si="6"/>
        <v>-3858.75</v>
      </c>
      <c r="N62" s="4">
        <f t="shared" si="7"/>
        <v>-0.25</v>
      </c>
      <c r="P62" s="90">
        <f>INDEX($B$7:$B$47,MATCH(AB$61,$A$7:$A$47,0))</f>
        <v>4.3E-3</v>
      </c>
      <c r="Q62" s="34">
        <f>$B$30</f>
        <v>4.41</v>
      </c>
      <c r="T62" s="16"/>
      <c r="V62" s="33" t="s">
        <v>89</v>
      </c>
      <c r="W62" s="1">
        <f>C62*0.75</f>
        <v>2625000</v>
      </c>
      <c r="AB62" s="28">
        <f>AVERAGE(P74,P82,P78,P70,P66,P62)</f>
        <v>3.9833333333333327E-3</v>
      </c>
      <c r="AF62" s="98"/>
      <c r="AN62" s="16"/>
      <c r="AO62" s="16"/>
      <c r="AR62" s="16"/>
    </row>
    <row r="63" spans="1:44" x14ac:dyDescent="0.2">
      <c r="A63" s="5" t="s">
        <v>3</v>
      </c>
      <c r="B63" s="5" t="s">
        <v>52</v>
      </c>
      <c r="C63" s="13">
        <f>$B$33</f>
        <v>3000000</v>
      </c>
      <c r="D63" s="43">
        <v>2250000</v>
      </c>
      <c r="E63" s="37">
        <f t="shared" si="2"/>
        <v>-750000</v>
      </c>
      <c r="F63" s="4">
        <f t="shared" si="3"/>
        <v>-0.25</v>
      </c>
      <c r="G63" s="37">
        <f>C63*P63+C63*P63*S60*T60</f>
        <v>1879.26</v>
      </c>
      <c r="H63" s="37">
        <f>P63*D63+P63*D63*S60*T60</f>
        <v>1409.4449999999999</v>
      </c>
      <c r="I63" s="37">
        <f t="shared" si="4"/>
        <v>-469.81500000000005</v>
      </c>
      <c r="J63" s="4">
        <f t="shared" si="5"/>
        <v>-0.25000000000000006</v>
      </c>
      <c r="K63" s="37">
        <f>Q63*(C63/1000)</f>
        <v>1200</v>
      </c>
      <c r="L63" s="37">
        <f>Q63*(D63/1000)</f>
        <v>900</v>
      </c>
      <c r="M63" s="37">
        <f t="shared" si="6"/>
        <v>-300</v>
      </c>
      <c r="N63" s="4">
        <f t="shared" si="7"/>
        <v>-0.25</v>
      </c>
      <c r="P63" s="90">
        <f>INDEX($B$7:$B$47,MATCH(AB$63,$A$7:$A$47,0))</f>
        <v>5.0000000000000001E-4</v>
      </c>
      <c r="Q63" s="34">
        <f>$B$34</f>
        <v>0.4</v>
      </c>
      <c r="T63" s="16"/>
      <c r="V63" s="33" t="s">
        <v>89</v>
      </c>
      <c r="W63" s="1">
        <f>C63*0.75</f>
        <v>2250000</v>
      </c>
      <c r="AB63" s="24" t="s">
        <v>73</v>
      </c>
      <c r="AF63" s="98"/>
      <c r="AN63" s="16"/>
      <c r="AO63" s="16"/>
      <c r="AR63" s="16"/>
    </row>
    <row r="64" spans="1:44" x14ac:dyDescent="0.2">
      <c r="A64" s="18" t="s">
        <v>4</v>
      </c>
      <c r="B64" s="22"/>
      <c r="C64" s="46">
        <f>SUM(C65:C67)</f>
        <v>9700000</v>
      </c>
      <c r="D64" s="54">
        <f>SUM(D65:D67)</f>
        <v>12125000</v>
      </c>
      <c r="E64" s="54">
        <f t="shared" si="2"/>
        <v>2425000</v>
      </c>
      <c r="F64" s="23">
        <f t="shared" si="3"/>
        <v>0.25</v>
      </c>
      <c r="G64" s="54">
        <f>SUM(G65:G67)</f>
        <v>21669.287900000003</v>
      </c>
      <c r="H64" s="54">
        <f>SUM(H65:H67)</f>
        <v>21059.019175000001</v>
      </c>
      <c r="I64" s="54">
        <f t="shared" si="4"/>
        <v>-610.26872500000172</v>
      </c>
      <c r="J64" s="23">
        <f t="shared" si="5"/>
        <v>-2.8162841705564382E-2</v>
      </c>
      <c r="K64" s="54">
        <f>SUM(K65:K67)</f>
        <v>24705</v>
      </c>
      <c r="L64" s="54">
        <f>SUM(L65:L67)</f>
        <v>20468.75</v>
      </c>
      <c r="M64" s="54">
        <f t="shared" si="6"/>
        <v>-4236.25</v>
      </c>
      <c r="N64" s="23">
        <f t="shared" si="7"/>
        <v>-0.17147338595426026</v>
      </c>
      <c r="P64" s="91"/>
      <c r="S64" s="21">
        <f>INDEX($C$7:$C$47,MATCH(S$59,$A$7:$A$47,0))</f>
        <v>41.1</v>
      </c>
      <c r="T64" s="25">
        <f>INDEX($C$7:$C$47,MATCH(T$59,$A$7:$A$47,0))</f>
        <v>2.3900000000000001E-2</v>
      </c>
      <c r="V64" s="32" t="s">
        <v>90</v>
      </c>
      <c r="W64" s="1">
        <f>C64*1.25</f>
        <v>12125000</v>
      </c>
      <c r="AB64" s="28">
        <f>AVERAGE(P75,P83,P79,P71,P67,P63)</f>
        <v>5.0000000000000001E-4</v>
      </c>
      <c r="AC64" s="94"/>
      <c r="AD64" s="19">
        <f>INDEX($C$7:$C$47,MATCH(AD$59,$A$7:$A$47,0))</f>
        <v>10</v>
      </c>
      <c r="AE64" s="19">
        <f>INDEX($C$7:$C$47,MATCH(AE$59,$A$7:$A$47,0))</f>
        <v>137801</v>
      </c>
      <c r="AF64" s="97">
        <f>AE64/(AD64*1000000)</f>
        <v>1.37801E-2</v>
      </c>
      <c r="AG64" s="19">
        <f>INDEX($C$7:$C$47,MATCH(AG$59,$A$7:$A$47,0))</f>
        <v>9361</v>
      </c>
      <c r="AH64" s="20">
        <f>INDEX($C$7:$C$47,MATCH(AH$59,$A$7:$A$47,0))</f>
        <v>6.7931292225745815E-2</v>
      </c>
      <c r="AI64" s="94"/>
      <c r="AJ64" s="19">
        <f>INDEX($C$7:$C$47,MATCH(AJ$59,$A$7:$A$47,0))</f>
        <v>49</v>
      </c>
      <c r="AK64" s="19">
        <f>INDEX($C$7:$C$47,MATCH(AK$59,$A$7:$A$47,0))</f>
        <v>39.4</v>
      </c>
      <c r="AL64" s="19">
        <f>INDEX($C$7:$C$47,MATCH(AL$59,$A$7:$A$47,0))</f>
        <v>52.5</v>
      </c>
    </row>
    <row r="65" spans="1:44" x14ac:dyDescent="0.2">
      <c r="A65" s="5" t="s">
        <v>4</v>
      </c>
      <c r="B65" s="5" t="s">
        <v>44</v>
      </c>
      <c r="C65" s="13">
        <f>$C$25</f>
        <v>6000000</v>
      </c>
      <c r="D65" s="43">
        <v>4500000</v>
      </c>
      <c r="E65" s="37">
        <f t="shared" si="2"/>
        <v>-1500000</v>
      </c>
      <c r="F65" s="4">
        <f t="shared" si="3"/>
        <v>-0.25</v>
      </c>
      <c r="G65" s="37">
        <f>C65*P65</f>
        <v>4800</v>
      </c>
      <c r="H65" s="37">
        <f>D65*P65</f>
        <v>3600</v>
      </c>
      <c r="I65" s="37">
        <f t="shared" si="4"/>
        <v>-1200</v>
      </c>
      <c r="J65" s="4">
        <f t="shared" si="5"/>
        <v>-0.25</v>
      </c>
      <c r="K65" s="37">
        <f>Q65*(C65/1000)</f>
        <v>5280</v>
      </c>
      <c r="L65" s="37">
        <f>Q65*(D65/1000)</f>
        <v>3960</v>
      </c>
      <c r="M65" s="37">
        <f t="shared" si="6"/>
        <v>-1320</v>
      </c>
      <c r="N65" s="4">
        <f t="shared" si="7"/>
        <v>-0.25</v>
      </c>
      <c r="P65" s="90">
        <f>INDEX($C$7:$C$47,MATCH(AB$59,$A$7:$A$47,0))</f>
        <v>8.0000000000000004E-4</v>
      </c>
      <c r="Q65" s="35">
        <f>$C$26</f>
        <v>0.88</v>
      </c>
      <c r="T65" s="16"/>
      <c r="V65" s="33" t="s">
        <v>89</v>
      </c>
      <c r="W65" s="1">
        <f>C65*0.75</f>
        <v>4500000</v>
      </c>
      <c r="AF65" s="98"/>
      <c r="AN65" s="16"/>
      <c r="AO65" s="16"/>
      <c r="AR65" s="16"/>
    </row>
    <row r="66" spans="1:44" x14ac:dyDescent="0.2">
      <c r="A66" s="5" t="s">
        <v>4</v>
      </c>
      <c r="B66" s="5" t="s">
        <v>48</v>
      </c>
      <c r="C66" s="13">
        <f>$C$29</f>
        <v>3700000</v>
      </c>
      <c r="D66" s="43">
        <v>2775000</v>
      </c>
      <c r="E66" s="37">
        <f t="shared" si="2"/>
        <v>-925000</v>
      </c>
      <c r="F66" s="4">
        <f t="shared" si="3"/>
        <v>-0.25</v>
      </c>
      <c r="G66" s="37">
        <f>C66*P66+C66*P66*S64*T64</f>
        <v>16869.287900000003</v>
      </c>
      <c r="H66" s="37">
        <f>D66*P66+D66*P66*S64*T64</f>
        <v>12651.965925</v>
      </c>
      <c r="I66" s="37">
        <f t="shared" si="4"/>
        <v>-4217.3219750000026</v>
      </c>
      <c r="J66" s="4">
        <f t="shared" si="5"/>
        <v>-0.25000000000000011</v>
      </c>
      <c r="K66" s="37">
        <f>Q66*(C66/1000)</f>
        <v>19425</v>
      </c>
      <c r="L66" s="37">
        <f>Q66*(D66/1000)</f>
        <v>14568.75</v>
      </c>
      <c r="M66" s="37">
        <f t="shared" si="6"/>
        <v>-4856.25</v>
      </c>
      <c r="N66" s="4">
        <f t="shared" si="7"/>
        <v>-0.25</v>
      </c>
      <c r="P66" s="90">
        <f>INDEX($C$7:$C$47,MATCH(AB$61,$A$7:$A$47,0))</f>
        <v>2.3E-3</v>
      </c>
      <c r="Q66" s="35">
        <f>$C$30</f>
        <v>5.25</v>
      </c>
      <c r="T66" s="16"/>
      <c r="V66" s="33" t="s">
        <v>89</v>
      </c>
      <c r="W66" s="1">
        <f>C66*0.75</f>
        <v>2775000</v>
      </c>
      <c r="AF66" s="98"/>
      <c r="AN66" s="16"/>
      <c r="AO66" s="16"/>
      <c r="AR66" s="16"/>
    </row>
    <row r="67" spans="1:44" x14ac:dyDescent="0.2">
      <c r="A67" s="5" t="s">
        <v>4</v>
      </c>
      <c r="B67" s="5" t="s">
        <v>52</v>
      </c>
      <c r="C67" s="13">
        <v>0</v>
      </c>
      <c r="D67" s="43">
        <v>4850000</v>
      </c>
      <c r="E67" s="37">
        <f t="shared" si="2"/>
        <v>4850000</v>
      </c>
      <c r="F67" s="4"/>
      <c r="G67" s="37">
        <f>C67*P67+C67*P67*S64*T64</f>
        <v>0</v>
      </c>
      <c r="H67" s="37">
        <f>P67*D67+P67*D67*S64*T64</f>
        <v>4807.0532499999999</v>
      </c>
      <c r="I67" s="37">
        <f t="shared" si="4"/>
        <v>4807.0532499999999</v>
      </c>
      <c r="J67" s="4"/>
      <c r="K67" s="37">
        <f>Q67*(C67/1000)</f>
        <v>0</v>
      </c>
      <c r="L67" s="37">
        <f>Q67*(D67/1000)</f>
        <v>1940</v>
      </c>
      <c r="M67" s="37">
        <f t="shared" si="6"/>
        <v>1940</v>
      </c>
      <c r="N67" s="4"/>
      <c r="P67" s="90">
        <f>INDEX($C$7:$C$47,MATCH(AB$63,$A$7:$A$47,0))</f>
        <v>5.0000000000000001E-4</v>
      </c>
      <c r="Q67" s="105">
        <f>Q63</f>
        <v>0.4</v>
      </c>
      <c r="T67" s="16"/>
      <c r="V67" s="33" t="s">
        <v>89</v>
      </c>
      <c r="W67" s="1">
        <v>0</v>
      </c>
      <c r="AF67" s="98"/>
      <c r="AN67" s="16"/>
      <c r="AO67" s="16"/>
      <c r="AR67" s="16"/>
    </row>
    <row r="68" spans="1:44" x14ac:dyDescent="0.2">
      <c r="A68" s="18" t="s">
        <v>5</v>
      </c>
      <c r="B68" s="22"/>
      <c r="C68" s="46">
        <f>SUM(C69:C71)</f>
        <v>12700000</v>
      </c>
      <c r="D68" s="54">
        <f>SUM(D69:D71)</f>
        <v>9525000</v>
      </c>
      <c r="E68" s="54">
        <f t="shared" si="2"/>
        <v>-3175000</v>
      </c>
      <c r="F68" s="23">
        <f t="shared" ref="F68:F83" si="8">E68/C68</f>
        <v>-0.25</v>
      </c>
      <c r="G68" s="54">
        <f>SUM(G69:G71)</f>
        <v>25135.663200000003</v>
      </c>
      <c r="H68" s="54">
        <f>SUM(H69:H71)</f>
        <v>18851.7474</v>
      </c>
      <c r="I68" s="54">
        <f t="shared" si="4"/>
        <v>-6283.9158000000025</v>
      </c>
      <c r="J68" s="23">
        <f t="shared" si="5"/>
        <v>-0.25000000000000006</v>
      </c>
      <c r="K68" s="54">
        <f>SUM(K69:K71)</f>
        <v>16714</v>
      </c>
      <c r="L68" s="54">
        <f>SUM(L69:L71)</f>
        <v>12535.5</v>
      </c>
      <c r="M68" s="54">
        <f t="shared" si="6"/>
        <v>-4178.5</v>
      </c>
      <c r="N68" s="23">
        <f t="shared" ref="N68:N85" si="9">M68/K68</f>
        <v>-0.25</v>
      </c>
      <c r="P68" s="91"/>
      <c r="S68" s="21">
        <f>INDEX($D$7:$D$47,MATCH(S$59,$A$7:$A$47,0))</f>
        <v>21.4</v>
      </c>
      <c r="T68" s="25">
        <f>INDEX($D$7:$D$47,MATCH(T$59,$A$7:$A$47,0))</f>
        <v>1.8200000000000001E-2</v>
      </c>
      <c r="V68" s="32" t="s">
        <v>90</v>
      </c>
      <c r="W68" s="1">
        <f>C68*1.25</f>
        <v>15875000</v>
      </c>
      <c r="AC68" s="94"/>
      <c r="AD68" s="19">
        <f>INDEX($D$7:$D$47,MATCH(AD$59,$A$7:$A$47,0))</f>
        <v>13.6</v>
      </c>
      <c r="AE68" s="19">
        <f>INDEX($D$7:$D$47,MATCH(AE$59,$A$7:$A$47,0))</f>
        <v>128410</v>
      </c>
      <c r="AF68" s="97">
        <f>AE68/(AD68*1000000)</f>
        <v>9.4419117647058827E-3</v>
      </c>
      <c r="AG68" s="19">
        <f>INDEX($D$7:$D$47,MATCH(AG$59,$A$7:$A$47,0))</f>
        <v>2932</v>
      </c>
      <c r="AH68" s="20">
        <f>INDEX($D$7:$D$47,MATCH(AH$59,$A$7:$A$47,0))</f>
        <v>2.2833112685927887E-2</v>
      </c>
      <c r="AI68" s="94"/>
      <c r="AJ68" s="19">
        <f>INDEX($D$7:$D$47,MATCH(AJ$59,$A$7:$A$47,0))</f>
        <v>29.6</v>
      </c>
      <c r="AK68" s="19">
        <f>INDEX($D$7:$D$47,MATCH(AK$59,$A$7:$A$47,0))</f>
        <v>15.4</v>
      </c>
      <c r="AL68" s="19">
        <f>INDEX($D$7:$D$47,MATCH(AL$59,$A$7:$A$47,0))</f>
        <v>36.700000000000003</v>
      </c>
    </row>
    <row r="69" spans="1:44" x14ac:dyDescent="0.2">
      <c r="A69" s="5" t="s">
        <v>5</v>
      </c>
      <c r="B69" s="5" t="s">
        <v>44</v>
      </c>
      <c r="C69" s="13">
        <f>$D$25</f>
        <v>6000000</v>
      </c>
      <c r="D69" s="43">
        <v>4500000</v>
      </c>
      <c r="E69" s="37">
        <f t="shared" si="2"/>
        <v>-1500000</v>
      </c>
      <c r="F69" s="4">
        <f t="shared" si="8"/>
        <v>-0.25</v>
      </c>
      <c r="G69" s="37">
        <f>C69*P69</f>
        <v>6600</v>
      </c>
      <c r="H69" s="37">
        <f>D69*P69</f>
        <v>4950</v>
      </c>
      <c r="I69" s="37">
        <f t="shared" si="4"/>
        <v>-1650</v>
      </c>
      <c r="J69" s="4">
        <f t="shared" si="5"/>
        <v>-0.25</v>
      </c>
      <c r="K69" s="37">
        <f>Q69*(C69/1000)</f>
        <v>3600</v>
      </c>
      <c r="L69" s="37">
        <f>Q69*(D69/1000)</f>
        <v>2700</v>
      </c>
      <c r="M69" s="37">
        <f t="shared" si="6"/>
        <v>-900</v>
      </c>
      <c r="N69" s="4">
        <f t="shared" si="9"/>
        <v>-0.25</v>
      </c>
      <c r="P69" s="90">
        <f>INDEX($D$7:$D$47,MATCH(AB$59,$A$7:$A$47,0))</f>
        <v>1.1000000000000001E-3</v>
      </c>
      <c r="Q69" s="35">
        <f>$D$26</f>
        <v>0.6</v>
      </c>
      <c r="T69" s="16"/>
      <c r="V69" s="33" t="s">
        <v>89</v>
      </c>
      <c r="W69" s="1">
        <f>C69*0.75</f>
        <v>4500000</v>
      </c>
      <c r="AF69" s="98"/>
      <c r="AN69" s="16"/>
      <c r="AO69" s="16"/>
      <c r="AR69" s="16"/>
    </row>
    <row r="70" spans="1:44" x14ac:dyDescent="0.2">
      <c r="A70" s="5" t="s">
        <v>5</v>
      </c>
      <c r="B70" s="5" t="s">
        <v>48</v>
      </c>
      <c r="C70" s="13">
        <f>$D$29</f>
        <v>3700000</v>
      </c>
      <c r="D70" s="43">
        <v>2775000</v>
      </c>
      <c r="E70" s="37">
        <f t="shared" si="2"/>
        <v>-925000</v>
      </c>
      <c r="F70" s="4">
        <f t="shared" si="8"/>
        <v>-0.25</v>
      </c>
      <c r="G70" s="37">
        <f>C70*P70+C70*P70*S68*T68</f>
        <v>16451.443200000002</v>
      </c>
      <c r="H70" s="37">
        <f>D70*P70+D70*P70*S68*T68</f>
        <v>12338.582399999999</v>
      </c>
      <c r="I70" s="37">
        <f t="shared" si="4"/>
        <v>-4112.8608000000022</v>
      </c>
      <c r="J70" s="4">
        <f t="shared" si="5"/>
        <v>-0.25000000000000011</v>
      </c>
      <c r="K70" s="37">
        <f>Q70*(C70/1000)</f>
        <v>11914</v>
      </c>
      <c r="L70" s="37">
        <f>Q70*(D70/1000)</f>
        <v>8935.5</v>
      </c>
      <c r="M70" s="37">
        <f t="shared" si="6"/>
        <v>-2978.5</v>
      </c>
      <c r="N70" s="4">
        <f t="shared" si="9"/>
        <v>-0.25</v>
      </c>
      <c r="P70" s="90">
        <f>INDEX($D$7:$D$47,MATCH(AB$61,$A$7:$A$47,0))</f>
        <v>3.2000000000000002E-3</v>
      </c>
      <c r="Q70" s="35">
        <f>$D$30</f>
        <v>3.22</v>
      </c>
      <c r="T70" s="16"/>
      <c r="V70" s="33" t="s">
        <v>89</v>
      </c>
      <c r="W70" s="1">
        <f>C70*0.75</f>
        <v>2775000</v>
      </c>
      <c r="AF70" s="98"/>
      <c r="AN70" s="16"/>
      <c r="AO70" s="16"/>
      <c r="AR70" s="16"/>
    </row>
    <row r="71" spans="1:44" x14ac:dyDescent="0.2">
      <c r="A71" s="5" t="s">
        <v>5</v>
      </c>
      <c r="B71" s="5" t="s">
        <v>52</v>
      </c>
      <c r="C71" s="13">
        <f>$D$33</f>
        <v>3000000</v>
      </c>
      <c r="D71" s="43">
        <v>2250000</v>
      </c>
      <c r="E71" s="37">
        <f t="shared" si="2"/>
        <v>-750000</v>
      </c>
      <c r="F71" s="4">
        <f t="shared" si="8"/>
        <v>-0.25</v>
      </c>
      <c r="G71" s="37">
        <f>C71*P71+C71*P71*S68*T68</f>
        <v>2084.2199999999998</v>
      </c>
      <c r="H71" s="37">
        <f>P71*D71+P71*D71*S68*T68</f>
        <v>1563.165</v>
      </c>
      <c r="I71" s="37">
        <f t="shared" si="4"/>
        <v>-521.05499999999984</v>
      </c>
      <c r="J71" s="4">
        <f t="shared" si="5"/>
        <v>-0.24999999999999994</v>
      </c>
      <c r="K71" s="37">
        <f>Q71*(C71/1000)</f>
        <v>1200</v>
      </c>
      <c r="L71" s="37">
        <f>Q71*(D71/1000)</f>
        <v>900</v>
      </c>
      <c r="M71" s="37">
        <f t="shared" si="6"/>
        <v>-300</v>
      </c>
      <c r="N71" s="4">
        <f t="shared" si="9"/>
        <v>-0.25</v>
      </c>
      <c r="P71" s="90">
        <f>INDEX($D$7:$D$47,MATCH(AB$63,$A$7:$A$47,0))</f>
        <v>5.0000000000000001E-4</v>
      </c>
      <c r="Q71" s="35">
        <f>$D$34</f>
        <v>0.4</v>
      </c>
      <c r="T71" s="16"/>
      <c r="V71" s="33" t="s">
        <v>89</v>
      </c>
      <c r="W71" s="1">
        <f>C71*0.75</f>
        <v>2250000</v>
      </c>
      <c r="AF71" s="98"/>
      <c r="AN71" s="16"/>
      <c r="AO71" s="16"/>
      <c r="AR71" s="16"/>
    </row>
    <row r="72" spans="1:44" x14ac:dyDescent="0.2">
      <c r="A72" s="18" t="str">
        <f>A73</f>
        <v>Pakistan</v>
      </c>
      <c r="B72" s="22"/>
      <c r="C72" s="46">
        <f>SUM(C73:C75)</f>
        <v>4700000</v>
      </c>
      <c r="D72" s="54">
        <f>SUM(D73:D75)</f>
        <v>5875000</v>
      </c>
      <c r="E72" s="54">
        <f t="shared" si="2"/>
        <v>1175000</v>
      </c>
      <c r="F72" s="23">
        <f t="shared" si="8"/>
        <v>0.25</v>
      </c>
      <c r="G72" s="54">
        <f>SUM(G73:G75)</f>
        <v>10768.748</v>
      </c>
      <c r="H72" s="54">
        <f>SUM(H73:H75)</f>
        <v>31641.514999999999</v>
      </c>
      <c r="I72" s="54">
        <f t="shared" si="4"/>
        <v>20872.767</v>
      </c>
      <c r="J72" s="23">
        <f t="shared" si="5"/>
        <v>1.9382723971254598</v>
      </c>
      <c r="K72" s="54">
        <f>SUM(K73:K75)</f>
        <v>4857</v>
      </c>
      <c r="L72" s="54">
        <f>SUM(L73:L75)</f>
        <v>14006.25</v>
      </c>
      <c r="M72" s="54">
        <f t="shared" si="6"/>
        <v>9149.25</v>
      </c>
      <c r="N72" s="23">
        <f t="shared" si="9"/>
        <v>1.8837245213094502</v>
      </c>
      <c r="P72" s="91"/>
      <c r="S72" s="21">
        <f>INDEX($E$7:$E$47,MATCH(S$59,$A$7:$A$47,0))</f>
        <v>26.5</v>
      </c>
      <c r="T72" s="25">
        <f>INDEX($E$7:$E$47,MATCH(T$59,$A$7:$A$47,0))</f>
        <v>2.64E-2</v>
      </c>
      <c r="V72" s="32" t="s">
        <v>90</v>
      </c>
      <c r="W72" s="1">
        <f>C72*1.25</f>
        <v>5875000</v>
      </c>
      <c r="AC72" s="94"/>
      <c r="AD72" s="19">
        <f>INDEX($E$7:$E$47,MATCH(AD$59,$A$7:$A$47,0))</f>
        <v>8</v>
      </c>
      <c r="AE72" s="19">
        <f>INDEX($E$7:$E$47,MATCH(AE$59,$A$7:$A$47,0))</f>
        <v>316425</v>
      </c>
      <c r="AF72" s="97">
        <f>AE72/(AD72*1000000)</f>
        <v>3.9553125000000001E-2</v>
      </c>
      <c r="AG72" s="19">
        <f>INDEX($E$7:$E$47,MATCH(AG$59,$A$7:$A$47,0))</f>
        <v>18994</v>
      </c>
      <c r="AH72" s="20">
        <f>INDEX($E$7:$E$47,MATCH(AH$59,$A$7:$A$47,0))</f>
        <v>6.0026862605672748E-2</v>
      </c>
      <c r="AI72" s="94"/>
      <c r="AJ72" s="19">
        <f>INDEX($E$7:$E$47,MATCH(AJ$59,$A$7:$A$47,0))</f>
        <v>193.2</v>
      </c>
      <c r="AK72" s="19">
        <f>INDEX($E$7:$E$47,MATCH(AK$59,$A$7:$A$47,0))</f>
        <v>20.399999999999999</v>
      </c>
      <c r="AL72" s="19">
        <f>INDEX($E$7:$E$47,MATCH(AL$59,$A$7:$A$47,0))</f>
        <v>111</v>
      </c>
    </row>
    <row r="73" spans="1:44" ht="12" customHeight="1" x14ac:dyDescent="0.2">
      <c r="A73" s="5" t="s">
        <v>6</v>
      </c>
      <c r="B73" s="5" t="s">
        <v>44</v>
      </c>
      <c r="C73" s="13">
        <f>$E$25</f>
        <v>1000000</v>
      </c>
      <c r="D73" s="43">
        <v>750000</v>
      </c>
      <c r="E73" s="37">
        <f t="shared" si="2"/>
        <v>-250000</v>
      </c>
      <c r="F73" s="4">
        <f t="shared" si="8"/>
        <v>-0.25</v>
      </c>
      <c r="G73" s="37">
        <f>C73*P73</f>
        <v>1200</v>
      </c>
      <c r="H73" s="37">
        <f>D73*P73</f>
        <v>899.99999999999989</v>
      </c>
      <c r="I73" s="37">
        <f t="shared" si="4"/>
        <v>-300.00000000000011</v>
      </c>
      <c r="J73" s="4">
        <f t="shared" si="5"/>
        <v>-0.25000000000000011</v>
      </c>
      <c r="K73" s="37">
        <f>Q73*(C73/1000)</f>
        <v>570</v>
      </c>
      <c r="L73" s="37">
        <f>Q73*(D73/1000)</f>
        <v>427.49999999999994</v>
      </c>
      <c r="M73" s="37">
        <f t="shared" si="6"/>
        <v>-142.50000000000006</v>
      </c>
      <c r="N73" s="4">
        <f t="shared" si="9"/>
        <v>-0.25000000000000011</v>
      </c>
      <c r="P73" s="90">
        <f>INDEX($E$7:$E$47,MATCH(AB$59,$A$7:$A$47,0))</f>
        <v>1.1999999999999999E-3</v>
      </c>
      <c r="Q73" s="35">
        <f>$E$26</f>
        <v>0.56999999999999995</v>
      </c>
      <c r="T73" s="16"/>
      <c r="V73" s="33" t="s">
        <v>89</v>
      </c>
      <c r="W73" s="1">
        <f>C73*0.75</f>
        <v>750000</v>
      </c>
      <c r="AF73" s="98"/>
      <c r="AN73" s="16"/>
      <c r="AO73" s="16"/>
      <c r="AR73" s="16"/>
    </row>
    <row r="74" spans="1:44" x14ac:dyDescent="0.2">
      <c r="A74" s="5" t="s">
        <v>6</v>
      </c>
      <c r="B74" s="5" t="s">
        <v>48</v>
      </c>
      <c r="C74" s="13">
        <f>$E$29</f>
        <v>700000</v>
      </c>
      <c r="D74" s="43">
        <v>2875000</v>
      </c>
      <c r="E74" s="37">
        <f t="shared" si="2"/>
        <v>2175000</v>
      </c>
      <c r="F74" s="4">
        <f t="shared" si="8"/>
        <v>3.1071428571428572</v>
      </c>
      <c r="G74" s="37">
        <f>C74*P74+C74*P74*S72*T72</f>
        <v>7019.348</v>
      </c>
      <c r="H74" s="37">
        <f>D74*P74+D74*P74*S72*T72</f>
        <v>28829.465</v>
      </c>
      <c r="I74" s="37">
        <f t="shared" si="4"/>
        <v>21810.116999999998</v>
      </c>
      <c r="J74" s="4">
        <f t="shared" si="5"/>
        <v>3.1071428571428568</v>
      </c>
      <c r="K74" s="37">
        <f>Q74*(C74/1000)</f>
        <v>3087</v>
      </c>
      <c r="L74" s="37">
        <f>Q74*(D74/1000)</f>
        <v>12678.75</v>
      </c>
      <c r="M74" s="37">
        <f t="shared" si="6"/>
        <v>9591.75</v>
      </c>
      <c r="N74" s="4">
        <f t="shared" si="9"/>
        <v>3.1071428571428572</v>
      </c>
      <c r="P74" s="90">
        <f>INDEX($E$7:$E$47,MATCH(AB$61,$A$7:$A$47,0))</f>
        <v>5.8999999999999999E-3</v>
      </c>
      <c r="Q74" s="35">
        <f>$E$30</f>
        <v>4.41</v>
      </c>
      <c r="T74" s="16"/>
      <c r="V74" s="33" t="s">
        <v>89</v>
      </c>
      <c r="W74" s="1">
        <f>C74*0.75</f>
        <v>525000</v>
      </c>
      <c r="AC74" s="95"/>
      <c r="AF74" s="98"/>
      <c r="AH74" s="9"/>
      <c r="AI74" s="95"/>
      <c r="AN74" s="16"/>
      <c r="AO74" s="16"/>
      <c r="AR74" s="16"/>
    </row>
    <row r="75" spans="1:44" x14ac:dyDescent="0.2">
      <c r="A75" s="5" t="s">
        <v>6</v>
      </c>
      <c r="B75" s="5" t="s">
        <v>52</v>
      </c>
      <c r="C75" s="13">
        <f>$E$33</f>
        <v>3000000</v>
      </c>
      <c r="D75" s="43">
        <v>2250000</v>
      </c>
      <c r="E75" s="37">
        <f t="shared" si="2"/>
        <v>-750000</v>
      </c>
      <c r="F75" s="4">
        <f t="shared" si="8"/>
        <v>-0.25</v>
      </c>
      <c r="G75" s="37">
        <f>C75*P75+C75*P75*S72*T72</f>
        <v>2549.4</v>
      </c>
      <c r="H75" s="37">
        <f>P75*D75+P75*D75*S72*T72</f>
        <v>1912.05</v>
      </c>
      <c r="I75" s="37">
        <f t="shared" si="4"/>
        <v>-637.35000000000014</v>
      </c>
      <c r="J75" s="4">
        <f t="shared" si="5"/>
        <v>-0.25000000000000006</v>
      </c>
      <c r="K75" s="37">
        <f>Q75*(C75/1000)</f>
        <v>1200</v>
      </c>
      <c r="L75" s="37">
        <f>Q75*(D75/1000)</f>
        <v>900</v>
      </c>
      <c r="M75" s="37">
        <f t="shared" si="6"/>
        <v>-300</v>
      </c>
      <c r="N75" s="4">
        <f t="shared" si="9"/>
        <v>-0.25</v>
      </c>
      <c r="P75" s="90">
        <f>INDEX($E$7:$E$47,MATCH(AB$63,$A$7:$A$47,0))</f>
        <v>5.0000000000000001E-4</v>
      </c>
      <c r="Q75" s="35">
        <f>$E$34</f>
        <v>0.4</v>
      </c>
      <c r="T75" s="16"/>
      <c r="V75" s="33" t="s">
        <v>89</v>
      </c>
      <c r="W75" s="1">
        <f>C75*0.75</f>
        <v>2250000</v>
      </c>
      <c r="AC75" s="95"/>
      <c r="AF75" s="98"/>
      <c r="AH75" s="9"/>
      <c r="AI75" s="95"/>
      <c r="AN75" s="16"/>
      <c r="AO75" s="16"/>
      <c r="AR75" s="16"/>
    </row>
    <row r="76" spans="1:44" x14ac:dyDescent="0.2">
      <c r="A76" s="18" t="str">
        <f>A77</f>
        <v>Philippines</v>
      </c>
      <c r="B76" s="22"/>
      <c r="C76" s="46">
        <f>SUM(C77:C79)</f>
        <v>12700000</v>
      </c>
      <c r="D76" s="54">
        <f>SUM(D77:D79)</f>
        <v>10445913</v>
      </c>
      <c r="E76" s="54">
        <f t="shared" si="2"/>
        <v>-2254087</v>
      </c>
      <c r="F76" s="23">
        <f t="shared" si="8"/>
        <v>-0.17748716535433071</v>
      </c>
      <c r="G76" s="54">
        <f>SUM(G77:G79)</f>
        <v>37154.834400000007</v>
      </c>
      <c r="H76" s="54">
        <f>SUM(H77:H79)</f>
        <v>34878.694929276004</v>
      </c>
      <c r="I76" s="54">
        <f t="shared" si="4"/>
        <v>-2276.1394707240033</v>
      </c>
      <c r="J76" s="23">
        <f t="shared" si="5"/>
        <v>-6.1260923577794307E-2</v>
      </c>
      <c r="K76" s="54">
        <f>SUM(K77:K79)</f>
        <v>18805</v>
      </c>
      <c r="L76" s="54">
        <f>SUM(L77:L79)</f>
        <v>17649.213300000003</v>
      </c>
      <c r="M76" s="54">
        <f t="shared" si="6"/>
        <v>-1155.7866999999969</v>
      </c>
      <c r="N76" s="23">
        <f t="shared" si="9"/>
        <v>-6.1461669768678381E-2</v>
      </c>
      <c r="P76" s="91"/>
      <c r="S76" s="21">
        <f>INDEX($F$7:$F$47,MATCH(S$59,$A$7:$A$47,0))</f>
        <v>32.4</v>
      </c>
      <c r="T76" s="25">
        <f>INDEX($F$7:$F$47,MATCH(T$59,$A$7:$A$47,0))</f>
        <v>1.8100000000000002E-2</v>
      </c>
      <c r="V76" s="32" t="s">
        <v>90</v>
      </c>
      <c r="W76" s="1">
        <f>C76*1.25</f>
        <v>15875000</v>
      </c>
      <c r="AC76" s="94"/>
      <c r="AD76" s="19">
        <f>INDEX($F$7:$F$47,MATCH(AD$59,$A$7:$A$47,0))</f>
        <v>29.9</v>
      </c>
      <c r="AE76" s="19">
        <f>INDEX($F$7:$F$47,MATCH(AE$59,$A$7:$A$47,0))</f>
        <v>203907</v>
      </c>
      <c r="AF76" s="97">
        <f>AE76/(AD76*1000000)</f>
        <v>6.8196321070234118E-3</v>
      </c>
      <c r="AG76" s="19">
        <f>INDEX($F$7:$F$47,MATCH(AG$59,$A$7:$A$47,0))</f>
        <v>2204</v>
      </c>
      <c r="AH76" s="20">
        <f>INDEX($F$7:$F$47,MATCH(AH$59,$A$7:$A$47,0))</f>
        <v>1.0808849132202425E-2</v>
      </c>
      <c r="AI76" s="94"/>
      <c r="AJ76" s="19">
        <f>INDEX($F$7:$F$47,MATCH(AJ$59,$A$7:$A$47,0))</f>
        <v>105.7</v>
      </c>
      <c r="AK76" s="19">
        <f>INDEX($F$7:$F$47,MATCH(AK$59,$A$7:$A$47,0))</f>
        <v>8.3000000000000007</v>
      </c>
      <c r="AL76" s="19">
        <f>INDEX($F$7:$F$47,MATCH(AL$59,$A$7:$A$47,0))</f>
        <v>94.2</v>
      </c>
    </row>
    <row r="77" spans="1:44" x14ac:dyDescent="0.2">
      <c r="A77" s="5" t="s">
        <v>7</v>
      </c>
      <c r="B77" s="5" t="s">
        <v>44</v>
      </c>
      <c r="C77" s="13">
        <f>$F$25</f>
        <v>6000000</v>
      </c>
      <c r="D77" s="43">
        <v>4500000</v>
      </c>
      <c r="E77" s="37">
        <f t="shared" si="2"/>
        <v>-1500000</v>
      </c>
      <c r="F77" s="4">
        <f t="shared" si="8"/>
        <v>-0.25</v>
      </c>
      <c r="G77" s="37">
        <f>C77*P77</f>
        <v>6600</v>
      </c>
      <c r="H77" s="37">
        <f>D77*P77</f>
        <v>4950</v>
      </c>
      <c r="I77" s="37">
        <f t="shared" si="4"/>
        <v>-1650</v>
      </c>
      <c r="J77" s="4">
        <f t="shared" si="5"/>
        <v>-0.25</v>
      </c>
      <c r="K77" s="37">
        <f>Q77*(C77/1000)</f>
        <v>3360.0000000000005</v>
      </c>
      <c r="L77" s="37">
        <f>Q77*(D77/1000)</f>
        <v>2520.0000000000005</v>
      </c>
      <c r="M77" s="37">
        <f t="shared" si="6"/>
        <v>-840</v>
      </c>
      <c r="N77" s="4">
        <f t="shared" si="9"/>
        <v>-0.24999999999999997</v>
      </c>
      <c r="P77" s="90">
        <f>INDEX($F$7:$F$47,MATCH(AB$59,$A$7:$A$47,0))</f>
        <v>1.1000000000000001E-3</v>
      </c>
      <c r="Q77" s="35">
        <f>$F$26</f>
        <v>0.56000000000000005</v>
      </c>
      <c r="T77" s="16"/>
      <c r="V77" s="33" t="s">
        <v>89</v>
      </c>
      <c r="W77" s="1">
        <f>C77*0.75</f>
        <v>4500000</v>
      </c>
      <c r="AF77" s="98"/>
      <c r="AN77" s="16"/>
      <c r="AO77" s="16"/>
      <c r="AR77" s="16"/>
    </row>
    <row r="78" spans="1:44" x14ac:dyDescent="0.2">
      <c r="A78" s="5" t="s">
        <v>7</v>
      </c>
      <c r="B78" s="5" t="s">
        <v>48</v>
      </c>
      <c r="C78" s="13">
        <f>$F$29</f>
        <v>3700000</v>
      </c>
      <c r="D78" s="43">
        <v>3695898</v>
      </c>
      <c r="E78" s="37">
        <f t="shared" si="2"/>
        <v>-4102</v>
      </c>
      <c r="F78" s="4">
        <f t="shared" si="8"/>
        <v>-1.1086486486486487E-3</v>
      </c>
      <c r="G78" s="37">
        <f>C78*P78+C78*P78*S76*T76</f>
        <v>28175.174400000004</v>
      </c>
      <c r="H78" s="37">
        <f>D78*P78+D78*P78*S76*T76</f>
        <v>28143.938030975998</v>
      </c>
      <c r="I78" s="37">
        <f t="shared" si="4"/>
        <v>-31.236369024005398</v>
      </c>
      <c r="J78" s="4">
        <f t="shared" si="5"/>
        <v>-1.1086486486488402E-3</v>
      </c>
      <c r="K78" s="37">
        <f>Q78*(C78/1000)</f>
        <v>14245</v>
      </c>
      <c r="L78" s="37">
        <f>Q78*(D78/1000)</f>
        <v>14229.2073</v>
      </c>
      <c r="M78" s="37">
        <f t="shared" si="6"/>
        <v>-15.792699999999968</v>
      </c>
      <c r="N78" s="4">
        <f t="shared" si="9"/>
        <v>-1.1086486486486464E-3</v>
      </c>
      <c r="P78" s="90">
        <f>INDEX($F$7:$F$47,MATCH(AB$61,$A$7:$A$47,0))</f>
        <v>4.7999999999999996E-3</v>
      </c>
      <c r="Q78" s="35">
        <f>$F$30</f>
        <v>3.85</v>
      </c>
      <c r="T78" s="16"/>
      <c r="V78" s="33" t="s">
        <v>89</v>
      </c>
      <c r="W78" s="1">
        <f>C78*0.75</f>
        <v>2775000</v>
      </c>
      <c r="AF78" s="98"/>
      <c r="AN78" s="16"/>
      <c r="AO78" s="16"/>
      <c r="AR78" s="16"/>
    </row>
    <row r="79" spans="1:44" x14ac:dyDescent="0.2">
      <c r="A79" s="5" t="s">
        <v>7</v>
      </c>
      <c r="B79" s="5" t="s">
        <v>52</v>
      </c>
      <c r="C79" s="13">
        <f>$F$33</f>
        <v>3000000</v>
      </c>
      <c r="D79" s="43">
        <v>2250015</v>
      </c>
      <c r="E79" s="37">
        <f t="shared" si="2"/>
        <v>-749985</v>
      </c>
      <c r="F79" s="4">
        <f t="shared" si="8"/>
        <v>-0.24999499999999999</v>
      </c>
      <c r="G79" s="37">
        <f>C79*P79+C79*P79*S76*T76</f>
        <v>2379.66</v>
      </c>
      <c r="H79" s="37">
        <f>P79*D79+P79*D79*S76*T76</f>
        <v>1784.7568982999999</v>
      </c>
      <c r="I79" s="37">
        <f t="shared" si="4"/>
        <v>-594.90310169999998</v>
      </c>
      <c r="J79" s="4">
        <f t="shared" si="5"/>
        <v>-0.24999499999999999</v>
      </c>
      <c r="K79" s="37">
        <f>Q79*(C79/1000)</f>
        <v>1200</v>
      </c>
      <c r="L79" s="37">
        <f>Q79*(D79/1000)</f>
        <v>900.00599999999997</v>
      </c>
      <c r="M79" s="37">
        <f t="shared" si="6"/>
        <v>-299.99400000000003</v>
      </c>
      <c r="N79" s="4">
        <f t="shared" si="9"/>
        <v>-0.24999500000000002</v>
      </c>
      <c r="P79" s="90">
        <f>INDEX($F$7:$F$47,MATCH(AB$63,$A$7:$A$47,0))</f>
        <v>5.0000000000000001E-4</v>
      </c>
      <c r="Q79" s="35">
        <f>$F$34</f>
        <v>0.4</v>
      </c>
      <c r="T79" s="16"/>
      <c r="V79" s="33" t="s">
        <v>89</v>
      </c>
      <c r="W79" s="1">
        <f>C79*0.75</f>
        <v>2250000</v>
      </c>
      <c r="AF79" s="98"/>
      <c r="AN79" s="16"/>
      <c r="AO79" s="16"/>
      <c r="AR79" s="16"/>
    </row>
    <row r="80" spans="1:44" x14ac:dyDescent="0.2">
      <c r="A80" s="18" t="str">
        <f>A81</f>
        <v>Singapore</v>
      </c>
      <c r="B80" s="22"/>
      <c r="C80" s="46">
        <f>SUM(C81:C83)</f>
        <v>6350000</v>
      </c>
      <c r="D80" s="54">
        <f>SUM(D81:D83)</f>
        <v>4762500</v>
      </c>
      <c r="E80" s="54">
        <f t="shared" si="2"/>
        <v>-1587500</v>
      </c>
      <c r="F80" s="23">
        <f t="shared" si="8"/>
        <v>-0.25</v>
      </c>
      <c r="G80" s="54">
        <f>SUM(G81:G83)</f>
        <v>10785.808199999999</v>
      </c>
      <c r="H80" s="54">
        <f>SUM(H81:H83)</f>
        <v>8089.3561500000005</v>
      </c>
      <c r="I80" s="54">
        <f t="shared" si="4"/>
        <v>-2696.452049999999</v>
      </c>
      <c r="J80" s="23">
        <f t="shared" si="5"/>
        <v>-0.24999999999999992</v>
      </c>
      <c r="K80" s="54">
        <f>SUM(K81:K83)</f>
        <v>10180</v>
      </c>
      <c r="L80" s="54">
        <f>SUM(L81:L83)</f>
        <v>7635</v>
      </c>
      <c r="M80" s="54">
        <f t="shared" si="6"/>
        <v>-2545</v>
      </c>
      <c r="N80" s="23">
        <f t="shared" si="9"/>
        <v>-0.25</v>
      </c>
      <c r="P80" s="91"/>
      <c r="S80" s="21">
        <f>INDEX($G$7:$G$47,MATCH(S$59,$A$7:$A$47,0))</f>
        <v>20.6</v>
      </c>
      <c r="T80" s="25">
        <f>INDEX($G$7:$G$47,MATCH(T$59,$A$7:$A$47,0))</f>
        <v>1.83E-2</v>
      </c>
      <c r="V80" s="32" t="s">
        <v>90</v>
      </c>
      <c r="W80" s="1">
        <f>C80*1.25</f>
        <v>7937500</v>
      </c>
      <c r="AC80" s="94"/>
      <c r="AD80" s="19">
        <f>INDEX($G$7:$G$47,MATCH(AD$59,$A$7:$A$47,0))</f>
        <v>2.9</v>
      </c>
      <c r="AE80" s="19">
        <f>INDEX($G$7:$G$47,MATCH(AE$59,$A$7:$A$47,0))</f>
        <v>15595</v>
      </c>
      <c r="AF80" s="97">
        <f>AE80/(AD80*1000000)</f>
        <v>5.3775862068965521E-3</v>
      </c>
      <c r="AG80" s="19">
        <f>INDEX($G$7:$G$47,MATCH(AG$59,$A$7:$A$47,0))</f>
        <v>1496</v>
      </c>
      <c r="AH80" s="20">
        <f>INDEX($G$7:$G$47,MATCH(AH$59,$A$7:$A$47,0))</f>
        <v>9.5928182109650525E-2</v>
      </c>
      <c r="AI80" s="94"/>
      <c r="AJ80" s="19">
        <f>INDEX($G$7:$G$47,MATCH(AJ$59,$A$7:$A$47,0))</f>
        <v>5.5</v>
      </c>
      <c r="AK80" s="19">
        <f>INDEX($G$7:$G$47,MATCH(AK$59,$A$7:$A$47,0))</f>
        <v>3.2</v>
      </c>
      <c r="AL80" s="19">
        <f>INDEX($G$7:$G$47,MATCH(AL$59,$A$7:$A$47,0))</f>
        <v>7.8</v>
      </c>
    </row>
    <row r="81" spans="1:23" x14ac:dyDescent="0.2">
      <c r="A81" s="5" t="s">
        <v>8</v>
      </c>
      <c r="B81" s="5" t="s">
        <v>44</v>
      </c>
      <c r="C81" s="13">
        <f>$G$25</f>
        <v>2000000</v>
      </c>
      <c r="D81" s="43">
        <v>1500000</v>
      </c>
      <c r="E81" s="37">
        <f t="shared" si="2"/>
        <v>-500000</v>
      </c>
      <c r="F81" s="4">
        <f t="shared" si="8"/>
        <v>-0.25</v>
      </c>
      <c r="G81" s="37">
        <f>C81*P81</f>
        <v>2400</v>
      </c>
      <c r="H81" s="37">
        <f>D81*P81</f>
        <v>1799.9999999999998</v>
      </c>
      <c r="I81" s="37">
        <f t="shared" si="4"/>
        <v>-600.00000000000023</v>
      </c>
      <c r="J81" s="4">
        <f t="shared" si="5"/>
        <v>-0.25000000000000011</v>
      </c>
      <c r="K81" s="37">
        <f>Q81*(C81/1000)</f>
        <v>1420</v>
      </c>
      <c r="L81" s="37">
        <f>Q81*(D81/1000)</f>
        <v>1065</v>
      </c>
      <c r="M81" s="37">
        <f t="shared" si="6"/>
        <v>-355</v>
      </c>
      <c r="N81" s="4">
        <f t="shared" si="9"/>
        <v>-0.25</v>
      </c>
      <c r="P81" s="90">
        <f>INDEX($G$7:$G$47,MATCH(AB$59,$A$7:$A$47,0))</f>
        <v>1.1999999999999999E-3</v>
      </c>
      <c r="Q81" s="35">
        <f>$G$26</f>
        <v>0.71</v>
      </c>
      <c r="V81" s="33" t="s">
        <v>89</v>
      </c>
      <c r="W81" s="1">
        <f>C81*0.75</f>
        <v>1500000</v>
      </c>
    </row>
    <row r="82" spans="1:23" x14ac:dyDescent="0.2">
      <c r="A82" s="5" t="s">
        <v>8</v>
      </c>
      <c r="B82" s="5" t="s">
        <v>48</v>
      </c>
      <c r="C82" s="13">
        <f>$G$29</f>
        <v>1350000</v>
      </c>
      <c r="D82" s="43">
        <v>1012500</v>
      </c>
      <c r="E82" s="37">
        <f t="shared" si="2"/>
        <v>-337500</v>
      </c>
      <c r="F82" s="4">
        <f t="shared" si="8"/>
        <v>-0.25</v>
      </c>
      <c r="G82" s="37">
        <f>C82*P82+C82*P82*S80*T80</f>
        <v>6320.3382000000001</v>
      </c>
      <c r="H82" s="37">
        <f>D82*P82+D82*P82*S80*T80</f>
        <v>4740.2536500000006</v>
      </c>
      <c r="I82" s="37">
        <f t="shared" si="4"/>
        <v>-1580.0845499999996</v>
      </c>
      <c r="J82" s="4">
        <f t="shared" si="5"/>
        <v>-0.24999999999999992</v>
      </c>
      <c r="K82" s="37">
        <f>Q82*(C82/1000)</f>
        <v>7559.9999999999991</v>
      </c>
      <c r="L82" s="37">
        <f>Q82*(D82/1000)</f>
        <v>5670</v>
      </c>
      <c r="M82" s="37">
        <f t="shared" si="6"/>
        <v>-1889.9999999999991</v>
      </c>
      <c r="N82" s="4">
        <f t="shared" si="9"/>
        <v>-0.24999999999999992</v>
      </c>
      <c r="P82" s="90">
        <f>INDEX($G$7:$G$47,MATCH(AB$61,$A$7:$A$47,0))</f>
        <v>3.3999999999999998E-3</v>
      </c>
      <c r="Q82" s="35">
        <f>$G$30</f>
        <v>5.6</v>
      </c>
      <c r="V82" s="33" t="s">
        <v>89</v>
      </c>
      <c r="W82" s="1">
        <f>C82*0.75</f>
        <v>1012500</v>
      </c>
    </row>
    <row r="83" spans="1:23" x14ac:dyDescent="0.2">
      <c r="A83" s="5" t="s">
        <v>8</v>
      </c>
      <c r="B83" s="5" t="s">
        <v>52</v>
      </c>
      <c r="C83" s="13">
        <f>$G$33</f>
        <v>3000000</v>
      </c>
      <c r="D83" s="43">
        <v>2250000</v>
      </c>
      <c r="E83" s="37">
        <f t="shared" si="2"/>
        <v>-750000</v>
      </c>
      <c r="F83" s="4">
        <f t="shared" si="8"/>
        <v>-0.25</v>
      </c>
      <c r="G83" s="37">
        <f>C83*P83+C83*P83*S80*T80</f>
        <v>2065.4700000000003</v>
      </c>
      <c r="H83" s="37">
        <f>P83*D83+P83*D83*S80*T80</f>
        <v>1549.1025</v>
      </c>
      <c r="I83" s="37">
        <f t="shared" si="4"/>
        <v>-516.36750000000029</v>
      </c>
      <c r="J83" s="4">
        <f t="shared" si="5"/>
        <v>-0.25000000000000011</v>
      </c>
      <c r="K83" s="37">
        <f>Q83*(C83/1000)</f>
        <v>1200</v>
      </c>
      <c r="L83" s="37">
        <f>Q83*(D83/1000)</f>
        <v>900</v>
      </c>
      <c r="M83" s="37">
        <f t="shared" si="6"/>
        <v>-300</v>
      </c>
      <c r="N83" s="4">
        <f t="shared" si="9"/>
        <v>-0.25</v>
      </c>
      <c r="P83" s="90">
        <f>INDEX($G$7:$G$47,MATCH(AB$63,$A$7:$A$47,0))</f>
        <v>5.0000000000000001E-4</v>
      </c>
      <c r="Q83" s="35">
        <f>$G$34</f>
        <v>0.4</v>
      </c>
      <c r="V83" s="33" t="s">
        <v>89</v>
      </c>
      <c r="W83" s="1">
        <f>C83*0.75</f>
        <v>2250000</v>
      </c>
    </row>
    <row r="84" spans="1:23" x14ac:dyDescent="0.2">
      <c r="A84" s="146" t="s">
        <v>108</v>
      </c>
      <c r="B84" s="146"/>
      <c r="C84" s="46"/>
      <c r="D84" s="46"/>
      <c r="E84" s="46"/>
      <c r="F84" s="23"/>
      <c r="G84" s="46"/>
      <c r="H84" s="46"/>
      <c r="I84" s="46"/>
      <c r="J84" s="23"/>
      <c r="K84" s="54">
        <f>SUM(K80,K76,K72,K68,K64,K60)*0.09</f>
        <v>8556.84</v>
      </c>
      <c r="L84" s="54">
        <f>SUM(L80,L76,L72,L68,L64,L60)*0.09</f>
        <v>7844.0366969999995</v>
      </c>
      <c r="M84" s="54">
        <f>SUM(M80,M76,M72,M68,M64,M60)*0.09</f>
        <v>-712.80330299999969</v>
      </c>
      <c r="N84" s="23">
        <f t="shared" si="9"/>
        <v>-8.3302165635912279E-2</v>
      </c>
      <c r="Q84" s="35"/>
      <c r="V84" s="33"/>
    </row>
    <row r="85" spans="1:23" x14ac:dyDescent="0.2">
      <c r="A85" s="146" t="s">
        <v>103</v>
      </c>
      <c r="B85" s="146"/>
      <c r="C85" s="46">
        <f>SUM(C80,C76,C72,C68,C64,C60)</f>
        <v>58650000</v>
      </c>
      <c r="D85" s="46">
        <f>SUM(D80,D76,D72,D68,D64,D60)</f>
        <v>52108413</v>
      </c>
      <c r="E85" s="46">
        <f>SUM(E80,E76,E72,E68,E64,E60)</f>
        <v>-6541587</v>
      </c>
      <c r="F85" s="23">
        <f>E85/C85</f>
        <v>-0.11153601023017903</v>
      </c>
      <c r="G85" s="46">
        <f>SUM(G80,G76,G72,G68,G64,G60)</f>
        <v>131648.84370000003</v>
      </c>
      <c r="H85" s="46">
        <f>SUM(H80,H76,H72,H68,H64,H60)</f>
        <v>134121.209154276</v>
      </c>
      <c r="I85" s="46">
        <f>SUM(I80,I76,I72,I68,I64,I60)</f>
        <v>2472.3654542759941</v>
      </c>
      <c r="J85" s="23">
        <f t="shared" si="5"/>
        <v>1.8780001288199646E-2</v>
      </c>
      <c r="K85" s="54">
        <f>SUM(K80,K76,K72,K68,K64,K60)*1.09</f>
        <v>103632.84000000001</v>
      </c>
      <c r="L85" s="54">
        <f>SUM(L81:L83,L77:L79,L73:L74,L75,L69:L71,L65:L67,L61:L63)*1.09</f>
        <v>94999.999997000006</v>
      </c>
      <c r="M85" s="46">
        <f>SUM(M80,M76,M72,M68,M64,M60)</f>
        <v>-7920.0366999999969</v>
      </c>
      <c r="N85" s="23">
        <f t="shared" si="9"/>
        <v>-7.6424005170561721E-2</v>
      </c>
      <c r="Q85" s="50"/>
      <c r="V85" s="50"/>
      <c r="W85" s="50"/>
    </row>
    <row r="86" spans="1:23" x14ac:dyDescent="0.2">
      <c r="A86" s="45"/>
      <c r="B86" s="45"/>
      <c r="C86" s="13"/>
      <c r="D86" s="13"/>
      <c r="F86" s="13"/>
      <c r="G86" s="4"/>
      <c r="H86" s="13"/>
      <c r="I86" s="13"/>
      <c r="J86" s="13"/>
      <c r="K86" s="4"/>
    </row>
    <row r="87" spans="1:23" x14ac:dyDescent="0.2">
      <c r="A87" s="5"/>
      <c r="B87" s="5"/>
    </row>
    <row r="88" spans="1:23" x14ac:dyDescent="0.2">
      <c r="A88" s="5"/>
      <c r="B88" s="5"/>
    </row>
    <row r="89" spans="1:23" x14ac:dyDescent="0.2">
      <c r="L89" s="4"/>
    </row>
    <row r="90" spans="1:23" x14ac:dyDescent="0.2">
      <c r="L90" s="4"/>
    </row>
  </sheetData>
  <mergeCells count="11">
    <mergeCell ref="Y58:Z58"/>
    <mergeCell ref="A84:B84"/>
    <mergeCell ref="A85:B85"/>
    <mergeCell ref="I33:K35"/>
    <mergeCell ref="I37:J37"/>
    <mergeCell ref="L44:L45"/>
    <mergeCell ref="C58:F58"/>
    <mergeCell ref="G58:J58"/>
    <mergeCell ref="K58:N58"/>
    <mergeCell ref="V58:W58"/>
    <mergeCell ref="V50:Z50"/>
  </mergeCells>
  <conditionalFormatting sqref="G86 F85 K86 J85 E60:F83">
    <cfRule type="cellIs" dxfId="11" priority="6" operator="lessThan">
      <formula>0</formula>
    </cfRule>
  </conditionalFormatting>
  <conditionalFormatting sqref="I60:J83">
    <cfRule type="cellIs" dxfId="10" priority="5" operator="lessThan">
      <formula>0</formula>
    </cfRule>
  </conditionalFormatting>
  <conditionalFormatting sqref="N85:T85">
    <cfRule type="cellIs" dxfId="9" priority="4" operator="lessThan">
      <formula>0</formula>
    </cfRule>
  </conditionalFormatting>
  <conditionalFormatting sqref="M60:T83">
    <cfRule type="cellIs" dxfId="8" priority="3" operator="lessThan">
      <formula>0</formula>
    </cfRule>
  </conditionalFormatting>
  <conditionalFormatting sqref="F84 J84">
    <cfRule type="cellIs" dxfId="7" priority="2" operator="lessThan">
      <formula>0</formula>
    </cfRule>
  </conditionalFormatting>
  <conditionalFormatting sqref="N84:T84">
    <cfRule type="cellIs" dxfId="6" priority="1" operator="lessThan">
      <formula>0</formula>
    </cfRule>
  </conditionalFormatting>
  <pageMargins left="0.25" right="0.25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90"/>
  <sheetViews>
    <sheetView showGridLines="0" view="pageLayout" topLeftCell="A2" zoomScaleNormal="90" workbookViewId="0">
      <selection activeCell="G32" sqref="G32"/>
    </sheetView>
  </sheetViews>
  <sheetFormatPr defaultRowHeight="12.75" x14ac:dyDescent="0.2"/>
  <cols>
    <col min="1" max="1" width="27.7109375" style="1" customWidth="1"/>
    <col min="2" max="8" width="12.7109375" style="1" customWidth="1"/>
    <col min="9" max="9" width="11.28515625" style="1" hidden="1" customWidth="1"/>
    <col min="10" max="10" width="11.85546875" style="1" hidden="1" customWidth="1"/>
    <col min="11" max="14" width="12.7109375" style="1" hidden="1" customWidth="1"/>
    <col min="15" max="17" width="12.7109375" style="1" customWidth="1"/>
    <col min="18" max="18" width="16.42578125" style="1" customWidth="1"/>
    <col min="19" max="22" width="12.7109375" style="1" customWidth="1"/>
    <col min="23" max="16384" width="9.140625" style="1"/>
  </cols>
  <sheetData>
    <row r="2" spans="1:20" x14ac:dyDescent="0.2">
      <c r="A2" s="2" t="s">
        <v>74</v>
      </c>
      <c r="B2" s="1" t="s">
        <v>79</v>
      </c>
    </row>
    <row r="3" spans="1:20" x14ac:dyDescent="0.2">
      <c r="A3" s="2" t="s">
        <v>75</v>
      </c>
      <c r="B3" s="1" t="s">
        <v>78</v>
      </c>
    </row>
    <row r="4" spans="1:20" x14ac:dyDescent="0.2">
      <c r="A4" s="2"/>
    </row>
    <row r="5" spans="1:20" x14ac:dyDescent="0.2">
      <c r="A5" s="87" t="s">
        <v>1</v>
      </c>
      <c r="B5" s="87"/>
      <c r="C5" s="87"/>
      <c r="D5" s="87"/>
      <c r="E5" s="87"/>
      <c r="F5" s="87"/>
      <c r="G5" s="87"/>
      <c r="H5" s="3"/>
    </row>
    <row r="6" spans="1:20" x14ac:dyDescent="0.2">
      <c r="A6" s="117" t="s">
        <v>2</v>
      </c>
      <c r="B6" s="117" t="s">
        <v>3</v>
      </c>
      <c r="C6" s="117" t="s">
        <v>4</v>
      </c>
      <c r="D6" s="117" t="s">
        <v>5</v>
      </c>
      <c r="E6" s="117" t="s">
        <v>6</v>
      </c>
      <c r="F6" s="117" t="s">
        <v>7</v>
      </c>
      <c r="G6" s="117" t="s">
        <v>8</v>
      </c>
    </row>
    <row r="7" spans="1:20" x14ac:dyDescent="0.2">
      <c r="A7" s="17" t="s">
        <v>9</v>
      </c>
      <c r="B7" s="11">
        <v>251.2</v>
      </c>
      <c r="C7" s="11">
        <v>49</v>
      </c>
      <c r="D7" s="11">
        <v>29.6</v>
      </c>
      <c r="E7" s="11">
        <v>193.2</v>
      </c>
      <c r="F7" s="11">
        <v>105.7</v>
      </c>
      <c r="G7" s="11">
        <v>5.5</v>
      </c>
    </row>
    <row r="8" spans="1:20" x14ac:dyDescent="0.2">
      <c r="A8" s="17" t="s">
        <v>10</v>
      </c>
      <c r="B8" s="12">
        <v>20</v>
      </c>
      <c r="C8" s="11">
        <v>39.4</v>
      </c>
      <c r="D8" s="11">
        <v>15.4</v>
      </c>
      <c r="E8" s="11">
        <v>20.399999999999999</v>
      </c>
      <c r="F8" s="11">
        <v>8.3000000000000007</v>
      </c>
      <c r="G8" s="11">
        <v>3.2</v>
      </c>
    </row>
    <row r="9" spans="1:20" x14ac:dyDescent="0.2">
      <c r="A9" s="17" t="s">
        <v>11</v>
      </c>
      <c r="B9" s="11">
        <v>248.8</v>
      </c>
      <c r="C9" s="11">
        <v>52.5</v>
      </c>
      <c r="D9" s="11">
        <v>36.700000000000003</v>
      </c>
      <c r="E9" s="12">
        <v>111</v>
      </c>
      <c r="F9" s="11">
        <v>94.2</v>
      </c>
      <c r="G9" s="11">
        <v>7.8</v>
      </c>
    </row>
    <row r="10" spans="1:20" x14ac:dyDescent="0.2">
      <c r="A10" s="17" t="s">
        <v>12</v>
      </c>
      <c r="B10" s="11">
        <v>51.1</v>
      </c>
      <c r="C10" s="12">
        <v>10</v>
      </c>
      <c r="D10" s="11">
        <v>13.6</v>
      </c>
      <c r="E10" s="12">
        <v>8</v>
      </c>
      <c r="F10" s="11">
        <v>29.9</v>
      </c>
      <c r="G10" s="11">
        <v>2.9</v>
      </c>
    </row>
    <row r="11" spans="1:20" x14ac:dyDescent="0.2">
      <c r="A11" s="88" t="s">
        <v>13</v>
      </c>
      <c r="B11" s="89"/>
      <c r="C11" s="89"/>
      <c r="D11" s="89"/>
      <c r="E11" s="88" t="s">
        <v>14</v>
      </c>
      <c r="F11" s="89"/>
      <c r="G11" s="89"/>
      <c r="H11" s="89"/>
    </row>
    <row r="12" spans="1:20" ht="4.5" customHeight="1" x14ac:dyDescent="0.2">
      <c r="B12" s="5"/>
      <c r="F12" s="5"/>
    </row>
    <row r="13" spans="1:20" x14ac:dyDescent="0.2">
      <c r="A13" s="87" t="s">
        <v>15</v>
      </c>
      <c r="B13" s="87"/>
      <c r="C13" s="87"/>
      <c r="D13" s="87"/>
      <c r="E13" s="87"/>
      <c r="F13" s="87"/>
      <c r="G13" s="87"/>
    </row>
    <row r="14" spans="1:20" x14ac:dyDescent="0.2">
      <c r="A14" s="117" t="s">
        <v>16</v>
      </c>
      <c r="B14" s="117" t="s">
        <v>17</v>
      </c>
      <c r="C14" s="117" t="s">
        <v>18</v>
      </c>
      <c r="D14" s="117" t="s">
        <v>19</v>
      </c>
      <c r="E14" s="117" t="s">
        <v>20</v>
      </c>
      <c r="F14" s="117" t="s">
        <v>21</v>
      </c>
      <c r="G14" s="117" t="s">
        <v>22</v>
      </c>
    </row>
    <row r="15" spans="1:20" x14ac:dyDescent="0.2">
      <c r="A15" s="5" t="s">
        <v>23</v>
      </c>
      <c r="B15" s="13">
        <v>778144</v>
      </c>
      <c r="C15" s="13">
        <v>137801</v>
      </c>
      <c r="D15" s="13">
        <v>128410</v>
      </c>
      <c r="E15" s="13">
        <v>316425</v>
      </c>
      <c r="F15" s="13">
        <v>203907</v>
      </c>
      <c r="G15" s="13">
        <v>15595</v>
      </c>
      <c r="O15" s="4"/>
      <c r="P15" s="4"/>
      <c r="Q15" s="4"/>
      <c r="R15" s="4"/>
      <c r="S15" s="4"/>
      <c r="T15" s="4"/>
    </row>
    <row r="16" spans="1:20" x14ac:dyDescent="0.2">
      <c r="A16" s="5" t="s">
        <v>24</v>
      </c>
      <c r="B16" s="13">
        <v>8009</v>
      </c>
      <c r="C16" s="13">
        <v>9361</v>
      </c>
      <c r="D16" s="13">
        <v>2932</v>
      </c>
      <c r="E16" s="13">
        <v>18994</v>
      </c>
      <c r="F16" s="13">
        <v>2204</v>
      </c>
      <c r="G16" s="13">
        <v>1496</v>
      </c>
    </row>
    <row r="17" spans="1:12" x14ac:dyDescent="0.2">
      <c r="A17" s="60" t="s">
        <v>25</v>
      </c>
      <c r="B17" s="61" t="s">
        <v>26</v>
      </c>
      <c r="C17" s="61" t="s">
        <v>27</v>
      </c>
      <c r="D17" s="61" t="s">
        <v>28</v>
      </c>
      <c r="E17" s="61" t="s">
        <v>29</v>
      </c>
      <c r="F17" s="61" t="s">
        <v>30</v>
      </c>
      <c r="G17" s="61" t="s">
        <v>31</v>
      </c>
    </row>
    <row r="18" spans="1:12" x14ac:dyDescent="0.2">
      <c r="A18" s="60" t="s">
        <v>86</v>
      </c>
      <c r="B18" s="104">
        <f>B16/B15</f>
        <v>1.0292439445655303E-2</v>
      </c>
      <c r="C18" s="104">
        <f t="shared" ref="C18" si="0">C16/C15</f>
        <v>6.7931292225745815E-2</v>
      </c>
      <c r="D18" s="104">
        <f>D16/D15</f>
        <v>2.2833112685927887E-2</v>
      </c>
      <c r="E18" s="104">
        <f>E16/E15</f>
        <v>6.0026862605672748E-2</v>
      </c>
      <c r="F18" s="104">
        <f>F16/F15</f>
        <v>1.0808849132202425E-2</v>
      </c>
      <c r="G18" s="104">
        <f>G16/G15</f>
        <v>9.5928182109650525E-2</v>
      </c>
    </row>
    <row r="19" spans="1:12" x14ac:dyDescent="0.2">
      <c r="A19" s="88" t="s">
        <v>32</v>
      </c>
    </row>
    <row r="20" spans="1:12" ht="4.5" customHeight="1" x14ac:dyDescent="0.2">
      <c r="A20" s="5"/>
      <c r="H20" s="5"/>
    </row>
    <row r="21" spans="1:12" x14ac:dyDescent="0.2">
      <c r="A21" s="87" t="s">
        <v>36</v>
      </c>
      <c r="B21" s="87"/>
      <c r="C21" s="87"/>
      <c r="D21" s="87"/>
      <c r="E21" s="87"/>
      <c r="F21" s="87"/>
      <c r="G21" s="87"/>
      <c r="H21" s="87"/>
    </row>
    <row r="22" spans="1:12" x14ac:dyDescent="0.2">
      <c r="A22" s="117"/>
      <c r="B22" s="117" t="s">
        <v>37</v>
      </c>
      <c r="C22" s="117" t="s">
        <v>38</v>
      </c>
      <c r="D22" s="117" t="s">
        <v>39</v>
      </c>
      <c r="E22" s="117" t="s">
        <v>40</v>
      </c>
      <c r="F22" s="117" t="s">
        <v>41</v>
      </c>
      <c r="G22" s="117" t="s">
        <v>42</v>
      </c>
      <c r="H22" s="117" t="s">
        <v>43</v>
      </c>
    </row>
    <row r="23" spans="1:12" x14ac:dyDescent="0.2">
      <c r="A23" s="17" t="s">
        <v>44</v>
      </c>
    </row>
    <row r="24" spans="1:12" x14ac:dyDescent="0.2">
      <c r="A24" s="5" t="s">
        <v>45</v>
      </c>
      <c r="B24" s="13">
        <v>6000000</v>
      </c>
      <c r="C24" s="13">
        <v>6000000</v>
      </c>
      <c r="D24" s="13">
        <v>6000000</v>
      </c>
      <c r="E24" s="13">
        <v>1000000</v>
      </c>
      <c r="F24" s="13">
        <v>6000000</v>
      </c>
      <c r="G24" s="13">
        <v>2000000</v>
      </c>
      <c r="H24" s="13">
        <v>27000000</v>
      </c>
    </row>
    <row r="25" spans="1:12" x14ac:dyDescent="0.2">
      <c r="A25" s="5" t="s">
        <v>46</v>
      </c>
      <c r="B25" s="14">
        <v>0.53</v>
      </c>
      <c r="C25" s="14">
        <v>0.88</v>
      </c>
      <c r="D25" s="14">
        <v>0.6</v>
      </c>
      <c r="E25" s="14">
        <v>0.56999999999999995</v>
      </c>
      <c r="F25" s="14">
        <v>0.56000000000000005</v>
      </c>
      <c r="G25" s="14">
        <v>0.71</v>
      </c>
      <c r="H25" s="14">
        <v>0.64</v>
      </c>
      <c r="J25" s="6"/>
    </row>
    <row r="26" spans="1:12" x14ac:dyDescent="0.2">
      <c r="A26" s="5" t="s">
        <v>47</v>
      </c>
      <c r="B26" s="15">
        <v>3180</v>
      </c>
      <c r="C26" s="15">
        <v>5280</v>
      </c>
      <c r="D26" s="15">
        <v>3600</v>
      </c>
      <c r="E26" s="15">
        <v>570</v>
      </c>
      <c r="F26" s="15">
        <v>3360</v>
      </c>
      <c r="G26" s="15">
        <v>1420</v>
      </c>
      <c r="H26" s="15">
        <v>17410</v>
      </c>
    </row>
    <row r="27" spans="1:12" x14ac:dyDescent="0.2">
      <c r="A27" s="17" t="s">
        <v>48</v>
      </c>
    </row>
    <row r="28" spans="1:12" x14ac:dyDescent="0.2">
      <c r="A28" s="5" t="s">
        <v>49</v>
      </c>
      <c r="B28" s="13">
        <v>3500000</v>
      </c>
      <c r="C28" s="13">
        <v>3700000</v>
      </c>
      <c r="D28" s="13">
        <v>3700000</v>
      </c>
      <c r="E28" s="13">
        <v>700000</v>
      </c>
      <c r="F28" s="13">
        <v>3700000</v>
      </c>
      <c r="G28" s="13">
        <v>1350000</v>
      </c>
      <c r="H28" s="13">
        <v>16650000</v>
      </c>
    </row>
    <row r="29" spans="1:12" x14ac:dyDescent="0.2">
      <c r="A29" s="5" t="s">
        <v>50</v>
      </c>
      <c r="B29" s="14">
        <v>4.41</v>
      </c>
      <c r="C29" s="14">
        <v>5.25</v>
      </c>
      <c r="D29" s="14">
        <v>3.22</v>
      </c>
      <c r="E29" s="14">
        <v>4.41</v>
      </c>
      <c r="F29" s="14">
        <v>3.85</v>
      </c>
      <c r="G29" s="14">
        <v>5.6</v>
      </c>
      <c r="H29" s="14">
        <v>4.3</v>
      </c>
    </row>
    <row r="30" spans="1:12" x14ac:dyDescent="0.2">
      <c r="A30" s="5" t="s">
        <v>51</v>
      </c>
      <c r="B30" s="15">
        <v>15435</v>
      </c>
      <c r="C30" s="15">
        <v>19425</v>
      </c>
      <c r="D30" s="15">
        <v>11914</v>
      </c>
      <c r="E30" s="15">
        <v>3087</v>
      </c>
      <c r="F30" s="15">
        <v>14245</v>
      </c>
      <c r="G30" s="15">
        <v>7560</v>
      </c>
      <c r="H30" s="15">
        <v>71666</v>
      </c>
    </row>
    <row r="31" spans="1:12" x14ac:dyDescent="0.2">
      <c r="A31" s="17" t="s">
        <v>52</v>
      </c>
    </row>
    <row r="32" spans="1:12" ht="12.75" customHeight="1" x14ac:dyDescent="0.2">
      <c r="A32" s="5" t="s">
        <v>53</v>
      </c>
      <c r="B32" s="13">
        <v>3000000</v>
      </c>
      <c r="C32" s="5" t="s">
        <v>54</v>
      </c>
      <c r="D32" s="13">
        <v>3000000</v>
      </c>
      <c r="E32" s="13">
        <v>3000000</v>
      </c>
      <c r="F32" s="13">
        <v>3000000</v>
      </c>
      <c r="G32" s="13">
        <v>3000000</v>
      </c>
      <c r="H32" s="13">
        <v>15000000</v>
      </c>
      <c r="I32" s="148" t="s">
        <v>84</v>
      </c>
      <c r="J32" s="148"/>
      <c r="K32" s="148"/>
      <c r="L32" s="29"/>
    </row>
    <row r="33" spans="1:14" x14ac:dyDescent="0.2">
      <c r="A33" s="5" t="s">
        <v>55</v>
      </c>
      <c r="B33" s="14">
        <v>0.4</v>
      </c>
      <c r="C33" s="5" t="s">
        <v>56</v>
      </c>
      <c r="D33" s="14">
        <v>0.4</v>
      </c>
      <c r="E33" s="14">
        <v>0.4</v>
      </c>
      <c r="F33" s="14">
        <v>0.4</v>
      </c>
      <c r="G33" s="14">
        <v>0.4</v>
      </c>
      <c r="H33" s="14">
        <v>0.4</v>
      </c>
      <c r="I33" s="148"/>
      <c r="J33" s="148"/>
      <c r="K33" s="148"/>
      <c r="L33" s="29"/>
    </row>
    <row r="34" spans="1:14" x14ac:dyDescent="0.2">
      <c r="A34" s="5" t="s">
        <v>57</v>
      </c>
      <c r="B34" s="15">
        <v>1200</v>
      </c>
      <c r="C34" s="5" t="s">
        <v>58</v>
      </c>
      <c r="D34" s="15">
        <v>1200</v>
      </c>
      <c r="E34" s="15">
        <v>1200</v>
      </c>
      <c r="F34" s="15">
        <v>1200</v>
      </c>
      <c r="G34" s="15">
        <v>1200</v>
      </c>
      <c r="H34" s="15">
        <v>6000</v>
      </c>
      <c r="I34" s="148"/>
      <c r="J34" s="148"/>
      <c r="K34" s="148"/>
      <c r="L34" s="29"/>
    </row>
    <row r="35" spans="1:14" ht="13.5" thickBot="1" x14ac:dyDescent="0.25">
      <c r="A35" s="17" t="s">
        <v>59</v>
      </c>
    </row>
    <row r="36" spans="1:14" x14ac:dyDescent="0.2">
      <c r="A36" s="5" t="s">
        <v>60</v>
      </c>
      <c r="B36" s="13">
        <v>12500000</v>
      </c>
      <c r="C36" s="13">
        <v>9700000</v>
      </c>
      <c r="D36" s="13">
        <v>12700000</v>
      </c>
      <c r="E36" s="13">
        <v>4700000</v>
      </c>
      <c r="F36" s="13">
        <v>12700000</v>
      </c>
      <c r="G36" s="13">
        <v>6350000</v>
      </c>
      <c r="H36" s="13">
        <v>58650000</v>
      </c>
      <c r="I36" s="149" t="s">
        <v>77</v>
      </c>
      <c r="J36" s="150"/>
    </row>
    <row r="37" spans="1:14" ht="13.5" thickBot="1" x14ac:dyDescent="0.25">
      <c r="A37" s="5" t="s">
        <v>61</v>
      </c>
      <c r="B37" s="15">
        <v>19815</v>
      </c>
      <c r="C37" s="15">
        <v>24705</v>
      </c>
      <c r="D37" s="15">
        <v>16714</v>
      </c>
      <c r="E37" s="15">
        <v>4857</v>
      </c>
      <c r="F37" s="15">
        <v>18805</v>
      </c>
      <c r="G37" s="15">
        <v>10180</v>
      </c>
      <c r="H37" s="15">
        <v>95076</v>
      </c>
      <c r="I37" s="40">
        <f>H37*1.09</f>
        <v>103632.84000000001</v>
      </c>
      <c r="J37" s="41"/>
    </row>
    <row r="39" spans="1:14" x14ac:dyDescent="0.2">
      <c r="A39" s="87" t="s">
        <v>76</v>
      </c>
      <c r="B39" s="87"/>
      <c r="C39" s="87"/>
      <c r="D39" s="87"/>
      <c r="E39" s="87"/>
      <c r="F39" s="87"/>
      <c r="G39" s="87"/>
    </row>
    <row r="40" spans="1:14" ht="4.5" customHeight="1" x14ac:dyDescent="0.2">
      <c r="A40" s="2"/>
      <c r="B40" s="2"/>
      <c r="C40" s="2"/>
      <c r="D40" s="17"/>
      <c r="E40" s="2"/>
      <c r="F40" s="2"/>
      <c r="G40" s="2"/>
    </row>
    <row r="41" spans="1:14" x14ac:dyDescent="0.2">
      <c r="A41" s="117" t="s">
        <v>62</v>
      </c>
      <c r="B41" s="117" t="s">
        <v>63</v>
      </c>
      <c r="C41" s="117" t="s">
        <v>64</v>
      </c>
      <c r="D41" s="117" t="s">
        <v>65</v>
      </c>
      <c r="E41" s="117" t="s">
        <v>66</v>
      </c>
      <c r="F41" s="117" t="s">
        <v>67</v>
      </c>
      <c r="G41" s="117" t="s">
        <v>68</v>
      </c>
    </row>
    <row r="42" spans="1:14" ht="13.5" thickBot="1" x14ac:dyDescent="0.25">
      <c r="A42" s="5" t="s">
        <v>69</v>
      </c>
      <c r="B42" s="16">
        <v>8.9999999999999998E-4</v>
      </c>
      <c r="C42" s="16">
        <v>8.0000000000000004E-4</v>
      </c>
      <c r="D42" s="16">
        <v>1.1000000000000001E-3</v>
      </c>
      <c r="E42" s="16">
        <v>1.1999999999999999E-3</v>
      </c>
      <c r="F42" s="16">
        <v>1.1000000000000001E-3</v>
      </c>
      <c r="G42" s="16">
        <v>1.1999999999999999E-3</v>
      </c>
    </row>
    <row r="43" spans="1:14" ht="12.75" customHeight="1" x14ac:dyDescent="0.2">
      <c r="A43" s="5" t="s">
        <v>70</v>
      </c>
      <c r="B43" s="16">
        <v>4.3E-3</v>
      </c>
      <c r="C43" s="16">
        <v>2.3E-3</v>
      </c>
      <c r="D43" s="16">
        <v>3.2000000000000002E-3</v>
      </c>
      <c r="E43" s="16">
        <v>5.8999999999999999E-3</v>
      </c>
      <c r="F43" s="16">
        <v>4.7999999999999996E-3</v>
      </c>
      <c r="G43" s="16">
        <v>3.3999999999999998E-3</v>
      </c>
      <c r="L43" s="151" t="s">
        <v>83</v>
      </c>
      <c r="M43" s="7">
        <v>1.25</v>
      </c>
      <c r="N43" s="1" t="s">
        <v>87</v>
      </c>
    </row>
    <row r="44" spans="1:14" ht="13.5" thickBot="1" x14ac:dyDescent="0.25">
      <c r="A44" s="5" t="s">
        <v>71</v>
      </c>
      <c r="B44" s="11">
        <v>12.9</v>
      </c>
      <c r="C44" s="11">
        <v>41.1</v>
      </c>
      <c r="D44" s="11">
        <v>21.4</v>
      </c>
      <c r="E44" s="11">
        <v>26.5</v>
      </c>
      <c r="F44" s="11">
        <v>32.4</v>
      </c>
      <c r="G44" s="11">
        <v>20.6</v>
      </c>
      <c r="L44" s="152"/>
      <c r="M44" s="8">
        <v>0.75</v>
      </c>
      <c r="N44" s="1" t="s">
        <v>88</v>
      </c>
    </row>
    <row r="45" spans="1:14" x14ac:dyDescent="0.2">
      <c r="A45" s="5" t="s">
        <v>72</v>
      </c>
      <c r="B45" s="16">
        <v>1.9599999999999999E-2</v>
      </c>
      <c r="C45" s="16">
        <v>2.3900000000000001E-2</v>
      </c>
      <c r="D45" s="16">
        <v>1.8200000000000001E-2</v>
      </c>
      <c r="E45" s="16">
        <v>2.64E-2</v>
      </c>
      <c r="F45" s="16">
        <v>1.8100000000000002E-2</v>
      </c>
      <c r="G45" s="16">
        <v>1.83E-2</v>
      </c>
    </row>
    <row r="46" spans="1:14" x14ac:dyDescent="0.2">
      <c r="A46" s="5" t="s">
        <v>73</v>
      </c>
      <c r="B46" s="16">
        <v>5.0000000000000001E-4</v>
      </c>
      <c r="C46" s="16">
        <v>5.0000000000000001E-4</v>
      </c>
      <c r="D46" s="16">
        <v>5.0000000000000001E-4</v>
      </c>
      <c r="E46" s="16">
        <v>5.0000000000000001E-4</v>
      </c>
      <c r="F46" s="16">
        <v>5.0000000000000001E-4</v>
      </c>
      <c r="G46" s="16">
        <v>5.0000000000000001E-4</v>
      </c>
    </row>
    <row r="47" spans="1:14" x14ac:dyDescent="0.2">
      <c r="A47" s="5"/>
      <c r="B47" s="16"/>
      <c r="C47" s="16"/>
      <c r="D47" s="16"/>
      <c r="E47" s="16"/>
      <c r="F47" s="16"/>
      <c r="G47" s="16"/>
    </row>
    <row r="48" spans="1:14" hidden="1" x14ac:dyDescent="0.2">
      <c r="A48" s="5"/>
      <c r="B48" s="16"/>
      <c r="C48" s="16"/>
      <c r="D48" s="16"/>
      <c r="E48" s="16"/>
      <c r="F48" s="16"/>
      <c r="G48" s="16"/>
    </row>
    <row r="49" spans="1:34" hidden="1" x14ac:dyDescent="0.2">
      <c r="A49" s="38" t="s">
        <v>92</v>
      </c>
      <c r="B49" s="42">
        <f>SUM(H61:H83)</f>
        <v>178874.283</v>
      </c>
      <c r="C49" s="39" t="s">
        <v>91</v>
      </c>
      <c r="D49" s="39"/>
      <c r="E49" s="16"/>
      <c r="F49" s="16"/>
      <c r="L49" s="16"/>
    </row>
    <row r="50" spans="1:34" ht="13.5" hidden="1" thickBot="1" x14ac:dyDescent="0.25">
      <c r="A50" s="63"/>
      <c r="B50" s="64"/>
      <c r="C50" s="39"/>
      <c r="D50" s="39"/>
      <c r="E50" s="16"/>
      <c r="F50" s="16"/>
      <c r="L50" s="16"/>
    </row>
    <row r="51" spans="1:34" hidden="1" x14ac:dyDescent="0.2">
      <c r="A51" s="65" t="s">
        <v>109</v>
      </c>
      <c r="B51" s="66"/>
      <c r="C51" s="67"/>
      <c r="D51" s="67"/>
      <c r="E51" s="68"/>
      <c r="F51" s="69"/>
      <c r="L51" s="16"/>
    </row>
    <row r="52" spans="1:34" hidden="1" x14ac:dyDescent="0.2">
      <c r="A52" s="70"/>
      <c r="B52" s="64"/>
      <c r="C52" s="71"/>
      <c r="D52" s="71"/>
      <c r="E52" s="72"/>
      <c r="F52" s="73"/>
      <c r="L52" s="16"/>
    </row>
    <row r="53" spans="1:34" hidden="1" x14ac:dyDescent="0.2">
      <c r="A53" s="70"/>
      <c r="B53" s="64"/>
      <c r="C53" s="71"/>
      <c r="D53" s="71"/>
      <c r="E53" s="72"/>
      <c r="F53" s="73"/>
      <c r="L53" s="16"/>
    </row>
    <row r="54" spans="1:34" hidden="1" x14ac:dyDescent="0.2">
      <c r="A54" s="70"/>
      <c r="B54" s="64"/>
      <c r="C54" s="71"/>
      <c r="D54" s="71"/>
      <c r="E54" s="72"/>
      <c r="F54" s="73"/>
      <c r="L54" s="16"/>
    </row>
    <row r="55" spans="1:34" hidden="1" x14ac:dyDescent="0.2">
      <c r="A55" s="70"/>
      <c r="B55" s="64"/>
      <c r="C55" s="71"/>
      <c r="D55" s="71"/>
      <c r="E55" s="72"/>
      <c r="F55" s="73"/>
      <c r="L55" s="16"/>
    </row>
    <row r="56" spans="1:34" ht="13.5" hidden="1" thickBot="1" x14ac:dyDescent="0.25">
      <c r="A56" s="74"/>
      <c r="B56" s="75"/>
      <c r="C56" s="76"/>
      <c r="D56" s="76"/>
      <c r="E56" s="77"/>
      <c r="F56" s="78"/>
      <c r="L56" s="16"/>
    </row>
    <row r="57" spans="1:34" ht="13.5" hidden="1" thickBot="1" x14ac:dyDescent="0.25">
      <c r="A57" s="5"/>
      <c r="B57" s="16"/>
      <c r="C57" s="39" t="s">
        <v>93</v>
      </c>
      <c r="D57" s="39"/>
      <c r="E57" s="16"/>
      <c r="F57" s="16"/>
      <c r="R57" s="16"/>
      <c r="S57" s="16"/>
      <c r="AF57" s="31" t="s">
        <v>94</v>
      </c>
    </row>
    <row r="58" spans="1:34" ht="13.5" hidden="1" thickBot="1" x14ac:dyDescent="0.25">
      <c r="A58" s="50"/>
      <c r="B58" s="50"/>
      <c r="C58" s="158" t="s">
        <v>101</v>
      </c>
      <c r="D58" s="159"/>
      <c r="E58" s="159"/>
      <c r="F58" s="160"/>
      <c r="G58" s="158" t="s">
        <v>102</v>
      </c>
      <c r="H58" s="159"/>
      <c r="I58" s="159"/>
      <c r="J58" s="160"/>
      <c r="K58" s="158" t="s">
        <v>107</v>
      </c>
      <c r="L58" s="159"/>
      <c r="M58" s="159"/>
      <c r="N58" s="160"/>
      <c r="R58" s="22"/>
      <c r="W58" s="26">
        <f>AVERAGE(W72,W80,W76,W68,W64,W60)</f>
        <v>105.7</v>
      </c>
      <c r="X58" s="26">
        <f t="shared" ref="X58:AH58" si="1">AVERAGE(X72,X80,X76,X68,X64,X60)</f>
        <v>17.783333333333331</v>
      </c>
      <c r="Y58" s="26">
        <f t="shared" si="1"/>
        <v>91.833333333333329</v>
      </c>
      <c r="Z58" s="26">
        <f t="shared" si="1"/>
        <v>19.25</v>
      </c>
      <c r="AA58" s="26">
        <f t="shared" si="1"/>
        <v>263380.33333333331</v>
      </c>
      <c r="AB58" s="26">
        <f t="shared" si="1"/>
        <v>7166</v>
      </c>
      <c r="AC58" s="27">
        <f t="shared" si="1"/>
        <v>4.4636789700809115E-2</v>
      </c>
      <c r="AD58" s="28">
        <f t="shared" si="1"/>
        <v>1.0499999999999999E-3</v>
      </c>
      <c r="AE58" s="28">
        <f t="shared" si="1"/>
        <v>3.9833333333333327E-3</v>
      </c>
      <c r="AF58" s="26">
        <f t="shared" si="1"/>
        <v>25.816666666666666</v>
      </c>
      <c r="AG58" s="28">
        <f t="shared" si="1"/>
        <v>2.0750000000000005E-2</v>
      </c>
      <c r="AH58" s="28">
        <f t="shared" si="1"/>
        <v>5.0000000000000001E-4</v>
      </c>
    </row>
    <row r="59" spans="1:34" ht="51.75" hidden="1" thickBot="1" x14ac:dyDescent="0.25">
      <c r="A59" s="51" t="s">
        <v>85</v>
      </c>
      <c r="B59" s="62" t="s">
        <v>105</v>
      </c>
      <c r="C59" s="47" t="s">
        <v>97</v>
      </c>
      <c r="D59" s="48" t="s">
        <v>96</v>
      </c>
      <c r="E59" s="48" t="s">
        <v>99</v>
      </c>
      <c r="F59" s="49" t="s">
        <v>100</v>
      </c>
      <c r="G59" s="47" t="s">
        <v>97</v>
      </c>
      <c r="H59" s="48" t="s">
        <v>96</v>
      </c>
      <c r="I59" s="48" t="s">
        <v>99</v>
      </c>
      <c r="J59" s="49" t="s">
        <v>100</v>
      </c>
      <c r="K59" s="56" t="s">
        <v>97</v>
      </c>
      <c r="L59" s="57" t="s">
        <v>96</v>
      </c>
      <c r="M59" s="57" t="s">
        <v>99</v>
      </c>
      <c r="N59" s="52" t="s">
        <v>100</v>
      </c>
      <c r="Q59" s="44" t="s">
        <v>98</v>
      </c>
      <c r="R59" s="30" t="s">
        <v>104</v>
      </c>
      <c r="V59" s="55" t="s">
        <v>106</v>
      </c>
      <c r="W59" s="24" t="s">
        <v>9</v>
      </c>
      <c r="X59" s="24" t="s">
        <v>10</v>
      </c>
      <c r="Y59" s="24" t="s">
        <v>11</v>
      </c>
      <c r="Z59" s="24" t="s">
        <v>12</v>
      </c>
      <c r="AA59" s="24" t="s">
        <v>23</v>
      </c>
      <c r="AB59" s="24" t="s">
        <v>24</v>
      </c>
      <c r="AC59" s="24" t="s">
        <v>86</v>
      </c>
      <c r="AD59" s="24" t="s">
        <v>69</v>
      </c>
      <c r="AE59" s="24" t="s">
        <v>70</v>
      </c>
      <c r="AF59" s="24" t="s">
        <v>71</v>
      </c>
      <c r="AG59" s="24" t="s">
        <v>72</v>
      </c>
      <c r="AH59" s="24" t="s">
        <v>73</v>
      </c>
    </row>
    <row r="60" spans="1:34" hidden="1" x14ac:dyDescent="0.2">
      <c r="A60" s="18" t="s">
        <v>3</v>
      </c>
      <c r="B60" s="22"/>
      <c r="C60" s="46">
        <f>SUM(C61:C63)</f>
        <v>12500000</v>
      </c>
      <c r="D60" s="54">
        <f>SUM(D61:D63)</f>
        <v>15625000</v>
      </c>
      <c r="E60" s="54">
        <f t="shared" ref="E60:E83" si="2">IFERROR(D60-C60,0)</f>
        <v>3125000</v>
      </c>
      <c r="F60" s="23">
        <f t="shared" ref="F60:F66" si="3">E60/C60</f>
        <v>0.25</v>
      </c>
      <c r="G60" s="54">
        <f>SUM(G61:G63)</f>
        <v>21950</v>
      </c>
      <c r="H60" s="54">
        <f>SUM(H61:H63)</f>
        <v>22087.5</v>
      </c>
      <c r="I60" s="54">
        <f>IFERROR(H60-G60,0)</f>
        <v>137.5</v>
      </c>
      <c r="J60" s="23">
        <f>I60/G60</f>
        <v>6.2642369020501137E-3</v>
      </c>
      <c r="K60" s="54">
        <f>SUM(K61:K63)</f>
        <v>19815</v>
      </c>
      <c r="L60" s="54">
        <f>SUM(L61:L63)</f>
        <v>18173.75</v>
      </c>
      <c r="M60" s="54">
        <f>IFERROR(L60-K60,0)</f>
        <v>-1641.25</v>
      </c>
      <c r="N60" s="23">
        <f>M60/K60</f>
        <v>-8.2828665152662129E-2</v>
      </c>
      <c r="Q60" s="32" t="s">
        <v>90</v>
      </c>
      <c r="R60" s="1">
        <f>C60*1.25</f>
        <v>15625000</v>
      </c>
      <c r="U60" s="31" t="s">
        <v>90</v>
      </c>
      <c r="V60" s="37">
        <v>95000</v>
      </c>
      <c r="W60" s="19">
        <f t="shared" ref="W60:AH60" si="4">INDEX($B$7:$B$46,MATCH(W$59,$A$7:$A$46,0))</f>
        <v>251.2</v>
      </c>
      <c r="X60" s="19">
        <f t="shared" si="4"/>
        <v>20</v>
      </c>
      <c r="Y60" s="19">
        <f t="shared" si="4"/>
        <v>248.8</v>
      </c>
      <c r="Z60" s="19">
        <f t="shared" si="4"/>
        <v>51.1</v>
      </c>
      <c r="AA60" s="19">
        <f t="shared" si="4"/>
        <v>778144</v>
      </c>
      <c r="AB60" s="19">
        <f t="shared" si="4"/>
        <v>8009</v>
      </c>
      <c r="AC60" s="20">
        <f t="shared" si="4"/>
        <v>1.0292439445655303E-2</v>
      </c>
      <c r="AD60" s="25">
        <f t="shared" si="4"/>
        <v>8.9999999999999998E-4</v>
      </c>
      <c r="AE60" s="25">
        <f t="shared" si="4"/>
        <v>4.3E-3</v>
      </c>
      <c r="AF60" s="21">
        <f t="shared" si="4"/>
        <v>12.9</v>
      </c>
      <c r="AG60" s="25">
        <f t="shared" si="4"/>
        <v>1.9599999999999999E-2</v>
      </c>
      <c r="AH60" s="25">
        <f t="shared" si="4"/>
        <v>5.0000000000000001E-4</v>
      </c>
    </row>
    <row r="61" spans="1:34" hidden="1" x14ac:dyDescent="0.2">
      <c r="A61" s="5" t="s">
        <v>3</v>
      </c>
      <c r="B61" s="5" t="s">
        <v>44</v>
      </c>
      <c r="C61" s="13">
        <f>$B$24</f>
        <v>6000000</v>
      </c>
      <c r="D61" s="43">
        <v>10750000</v>
      </c>
      <c r="E61" s="37">
        <f t="shared" si="2"/>
        <v>4750000</v>
      </c>
      <c r="F61" s="4">
        <f t="shared" si="3"/>
        <v>0.79166666666666663</v>
      </c>
      <c r="G61" s="37">
        <f>C61*AD60</f>
        <v>5400</v>
      </c>
      <c r="H61" s="37">
        <f>D61*AD60</f>
        <v>9675</v>
      </c>
      <c r="I61" s="37">
        <f t="shared" ref="I61:I83" si="5">IFERROR(H61-G61,0)</f>
        <v>4275</v>
      </c>
      <c r="J61" s="4">
        <f t="shared" ref="J61:J85" si="6">I61/G61</f>
        <v>0.79166666666666663</v>
      </c>
      <c r="K61" s="37">
        <f>S61*(C61/1000)</f>
        <v>3180</v>
      </c>
      <c r="L61" s="37">
        <f>S61*(D61/1000)</f>
        <v>5697.5</v>
      </c>
      <c r="M61" s="37">
        <f t="shared" ref="M61:M83" si="7">IFERROR(L61-K61,0)</f>
        <v>2517.5</v>
      </c>
      <c r="N61" s="4">
        <f t="shared" ref="N61:N66" si="8">M61/K61</f>
        <v>0.79166666666666663</v>
      </c>
      <c r="Q61" s="33" t="s">
        <v>89</v>
      </c>
      <c r="R61" s="1">
        <f>C61*0.75</f>
        <v>4500000</v>
      </c>
      <c r="S61" s="34">
        <f>$B$25</f>
        <v>0.53</v>
      </c>
      <c r="AD61" s="16"/>
      <c r="AE61" s="16"/>
      <c r="AG61" s="16"/>
      <c r="AH61" s="16"/>
    </row>
    <row r="62" spans="1:34" hidden="1" x14ac:dyDescent="0.2">
      <c r="A62" s="5" t="s">
        <v>3</v>
      </c>
      <c r="B62" s="5" t="s">
        <v>48</v>
      </c>
      <c r="C62" s="13">
        <f>$B$28</f>
        <v>3500000</v>
      </c>
      <c r="D62" s="43">
        <v>2625000</v>
      </c>
      <c r="E62" s="37">
        <f t="shared" si="2"/>
        <v>-875000</v>
      </c>
      <c r="F62" s="4">
        <f t="shared" si="3"/>
        <v>-0.25</v>
      </c>
      <c r="G62" s="37">
        <f>C62*AE60</f>
        <v>15050</v>
      </c>
      <c r="H62" s="37">
        <f>D62*AE60</f>
        <v>11287.5</v>
      </c>
      <c r="I62" s="37">
        <f t="shared" si="5"/>
        <v>-3762.5</v>
      </c>
      <c r="J62" s="4">
        <f t="shared" si="6"/>
        <v>-0.25</v>
      </c>
      <c r="K62" s="37">
        <f t="shared" ref="K62:K63" si="9">S62*(C62/1000)</f>
        <v>15435</v>
      </c>
      <c r="L62" s="37">
        <f>S62*(D62/1000)</f>
        <v>11576.25</v>
      </c>
      <c r="M62" s="37">
        <f t="shared" si="7"/>
        <v>-3858.75</v>
      </c>
      <c r="N62" s="4">
        <f t="shared" si="8"/>
        <v>-0.25</v>
      </c>
      <c r="Q62" s="33" t="s">
        <v>89</v>
      </c>
      <c r="R62" s="1">
        <f>C62*0.75</f>
        <v>2625000</v>
      </c>
      <c r="S62" s="34">
        <f>$B$29</f>
        <v>4.41</v>
      </c>
      <c r="AD62" s="16"/>
      <c r="AE62" s="16"/>
      <c r="AG62" s="16"/>
      <c r="AH62" s="16"/>
    </row>
    <row r="63" spans="1:34" hidden="1" x14ac:dyDescent="0.2">
      <c r="A63" s="5" t="s">
        <v>3</v>
      </c>
      <c r="B63" s="5" t="s">
        <v>52</v>
      </c>
      <c r="C63" s="13">
        <f>$B$32</f>
        <v>3000000</v>
      </c>
      <c r="D63" s="43">
        <v>2250000</v>
      </c>
      <c r="E63" s="37">
        <f t="shared" si="2"/>
        <v>-750000</v>
      </c>
      <c r="F63" s="4">
        <f t="shared" si="3"/>
        <v>-0.25</v>
      </c>
      <c r="G63" s="37">
        <f>AH60*C63</f>
        <v>1500</v>
      </c>
      <c r="H63" s="37">
        <f>AH60*D63</f>
        <v>1125</v>
      </c>
      <c r="I63" s="37">
        <f t="shared" si="5"/>
        <v>-375</v>
      </c>
      <c r="J63" s="4">
        <f t="shared" si="6"/>
        <v>-0.25</v>
      </c>
      <c r="K63" s="37">
        <f t="shared" si="9"/>
        <v>1200</v>
      </c>
      <c r="L63" s="37">
        <f>S63*(D63/1000)</f>
        <v>900</v>
      </c>
      <c r="M63" s="37">
        <f t="shared" si="7"/>
        <v>-300</v>
      </c>
      <c r="N63" s="4">
        <f t="shared" si="8"/>
        <v>-0.25</v>
      </c>
      <c r="Q63" s="33" t="s">
        <v>89</v>
      </c>
      <c r="R63" s="1">
        <f>C63*0.75</f>
        <v>2250000</v>
      </c>
      <c r="S63" s="34">
        <f>$B$33</f>
        <v>0.4</v>
      </c>
      <c r="AD63" s="16"/>
      <c r="AE63" s="16"/>
      <c r="AG63" s="16"/>
      <c r="AH63" s="16"/>
    </row>
    <row r="64" spans="1:34" hidden="1" x14ac:dyDescent="0.2">
      <c r="A64" s="18" t="s">
        <v>4</v>
      </c>
      <c r="B64" s="22"/>
      <c r="C64" s="46">
        <f>SUM(C65:C67)</f>
        <v>9700000</v>
      </c>
      <c r="D64" s="54">
        <f>SUM(D65:D67)</f>
        <v>11216783</v>
      </c>
      <c r="E64" s="54">
        <f t="shared" si="2"/>
        <v>1516783</v>
      </c>
      <c r="F64" s="23">
        <f t="shared" si="3"/>
        <v>0.15636938144329898</v>
      </c>
      <c r="G64" s="54">
        <f>SUM(G65:G67)</f>
        <v>13310</v>
      </c>
      <c r="H64" s="54">
        <f>SUM(H65:H67)</f>
        <v>11953.3915</v>
      </c>
      <c r="I64" s="54">
        <f t="shared" si="5"/>
        <v>-1356.6085000000003</v>
      </c>
      <c r="J64" s="23">
        <f t="shared" si="6"/>
        <v>-0.10192400450788883</v>
      </c>
      <c r="K64" s="54">
        <f>SUM(K65:K67)</f>
        <v>24705</v>
      </c>
      <c r="L64" s="54">
        <f>SUM(L65:L67)</f>
        <v>20105.463199999998</v>
      </c>
      <c r="M64" s="54">
        <f t="shared" si="7"/>
        <v>-4599.5368000000017</v>
      </c>
      <c r="N64" s="23">
        <f t="shared" si="8"/>
        <v>-0.18617837684679223</v>
      </c>
      <c r="Q64" s="32" t="s">
        <v>90</v>
      </c>
      <c r="R64" s="1">
        <f>C64*1.25</f>
        <v>12125000</v>
      </c>
      <c r="W64" s="19">
        <f t="shared" ref="W64:AH64" si="10">INDEX($C$7:$C$46,MATCH(W$59,$A$7:$A$46,0))</f>
        <v>49</v>
      </c>
      <c r="X64" s="19">
        <f t="shared" si="10"/>
        <v>39.4</v>
      </c>
      <c r="Y64" s="19">
        <f t="shared" si="10"/>
        <v>52.5</v>
      </c>
      <c r="Z64" s="19">
        <f t="shared" si="10"/>
        <v>10</v>
      </c>
      <c r="AA64" s="19">
        <f t="shared" si="10"/>
        <v>137801</v>
      </c>
      <c r="AB64" s="19">
        <f t="shared" si="10"/>
        <v>9361</v>
      </c>
      <c r="AC64" s="20">
        <f t="shared" si="10"/>
        <v>6.7931292225745815E-2</v>
      </c>
      <c r="AD64" s="25">
        <f t="shared" si="10"/>
        <v>8.0000000000000004E-4</v>
      </c>
      <c r="AE64" s="25">
        <f t="shared" si="10"/>
        <v>2.3E-3</v>
      </c>
      <c r="AF64" s="21">
        <f t="shared" si="10"/>
        <v>41.1</v>
      </c>
      <c r="AG64" s="25">
        <f t="shared" si="10"/>
        <v>2.3900000000000001E-2</v>
      </c>
      <c r="AH64" s="25">
        <f t="shared" si="10"/>
        <v>5.0000000000000001E-4</v>
      </c>
    </row>
    <row r="65" spans="1:34" hidden="1" x14ac:dyDescent="0.2">
      <c r="A65" s="5" t="s">
        <v>4</v>
      </c>
      <c r="B65" s="5" t="s">
        <v>44</v>
      </c>
      <c r="C65" s="13">
        <f>$C$24</f>
        <v>6000000</v>
      </c>
      <c r="D65" s="43">
        <v>4500000</v>
      </c>
      <c r="E65" s="37">
        <f t="shared" si="2"/>
        <v>-1500000</v>
      </c>
      <c r="F65" s="4">
        <f t="shared" si="3"/>
        <v>-0.25</v>
      </c>
      <c r="G65" s="37">
        <f>C65*AD64</f>
        <v>4800</v>
      </c>
      <c r="H65" s="37">
        <f>D65*AD64</f>
        <v>3600</v>
      </c>
      <c r="I65" s="37">
        <f t="shared" si="5"/>
        <v>-1200</v>
      </c>
      <c r="J65" s="4">
        <f t="shared" si="6"/>
        <v>-0.25</v>
      </c>
      <c r="K65" s="37">
        <f>S65*(C65/1000)</f>
        <v>5280</v>
      </c>
      <c r="L65" s="37">
        <f>S65*(D65/1000)</f>
        <v>3960</v>
      </c>
      <c r="M65" s="37">
        <f t="shared" si="7"/>
        <v>-1320</v>
      </c>
      <c r="N65" s="4">
        <f t="shared" si="8"/>
        <v>-0.25</v>
      </c>
      <c r="Q65" s="33" t="s">
        <v>89</v>
      </c>
      <c r="R65" s="1">
        <f>C65*0.75</f>
        <v>4500000</v>
      </c>
      <c r="S65" s="35">
        <f>$C$25</f>
        <v>0.88</v>
      </c>
      <c r="AD65" s="16"/>
      <c r="AE65" s="16"/>
      <c r="AG65" s="16"/>
      <c r="AH65" s="16"/>
    </row>
    <row r="66" spans="1:34" hidden="1" x14ac:dyDescent="0.2">
      <c r="A66" s="5" t="s">
        <v>4</v>
      </c>
      <c r="B66" s="5" t="s">
        <v>48</v>
      </c>
      <c r="C66" s="13">
        <f>$C$28</f>
        <v>3700000</v>
      </c>
      <c r="D66" s="43">
        <v>2775000</v>
      </c>
      <c r="E66" s="37">
        <f t="shared" si="2"/>
        <v>-925000</v>
      </c>
      <c r="F66" s="4">
        <f t="shared" si="3"/>
        <v>-0.25</v>
      </c>
      <c r="G66" s="37">
        <f>C66*AE64</f>
        <v>8510</v>
      </c>
      <c r="H66" s="37">
        <f>D66*AE64</f>
        <v>6382.5</v>
      </c>
      <c r="I66" s="37">
        <f t="shared" si="5"/>
        <v>-2127.5</v>
      </c>
      <c r="J66" s="4">
        <f t="shared" si="6"/>
        <v>-0.25</v>
      </c>
      <c r="K66" s="37">
        <f t="shared" ref="K66:K67" si="11">S66*(C66/1000)</f>
        <v>19425</v>
      </c>
      <c r="L66" s="37">
        <f>S66*(D66/1000)</f>
        <v>14568.75</v>
      </c>
      <c r="M66" s="37">
        <f t="shared" si="7"/>
        <v>-4856.25</v>
      </c>
      <c r="N66" s="4">
        <f t="shared" si="8"/>
        <v>-0.25</v>
      </c>
      <c r="Q66" s="33" t="s">
        <v>89</v>
      </c>
      <c r="R66" s="1">
        <f>C66*0.75</f>
        <v>2775000</v>
      </c>
      <c r="S66" s="35">
        <f>$C$29</f>
        <v>5.25</v>
      </c>
      <c r="AD66" s="16"/>
      <c r="AE66" s="16"/>
      <c r="AG66" s="16"/>
      <c r="AH66" s="16"/>
    </row>
    <row r="67" spans="1:34" hidden="1" x14ac:dyDescent="0.2">
      <c r="A67" s="5" t="s">
        <v>4</v>
      </c>
      <c r="B67" s="5" t="s">
        <v>52</v>
      </c>
      <c r="C67" s="13">
        <v>0</v>
      </c>
      <c r="D67" s="43">
        <v>3941783</v>
      </c>
      <c r="E67" s="37">
        <f t="shared" si="2"/>
        <v>3941783</v>
      </c>
      <c r="F67" s="4"/>
      <c r="G67" s="37">
        <f>AH64*C67</f>
        <v>0</v>
      </c>
      <c r="H67" s="37">
        <f>AH64*D67</f>
        <v>1970.8915</v>
      </c>
      <c r="I67" s="37">
        <f t="shared" si="5"/>
        <v>1970.8915</v>
      </c>
      <c r="J67" s="4"/>
      <c r="K67" s="37">
        <f t="shared" si="11"/>
        <v>0</v>
      </c>
      <c r="L67" s="37">
        <f>S67*(D67/1000)</f>
        <v>1576.7132000000001</v>
      </c>
      <c r="M67" s="37">
        <f t="shared" si="7"/>
        <v>1576.7132000000001</v>
      </c>
      <c r="N67" s="4"/>
      <c r="Q67" s="33" t="s">
        <v>89</v>
      </c>
      <c r="R67" s="1">
        <v>0</v>
      </c>
      <c r="S67" s="36">
        <f>S63</f>
        <v>0.4</v>
      </c>
      <c r="AD67" s="16"/>
      <c r="AE67" s="16"/>
      <c r="AG67" s="16"/>
      <c r="AH67" s="16"/>
    </row>
    <row r="68" spans="1:34" hidden="1" x14ac:dyDescent="0.2">
      <c r="A68" s="18" t="s">
        <v>5</v>
      </c>
      <c r="B68" s="22"/>
      <c r="C68" s="46">
        <f>SUM(C69:C71)</f>
        <v>12700000</v>
      </c>
      <c r="D68" s="54">
        <f>SUM(D69:D71)</f>
        <v>15875000</v>
      </c>
      <c r="E68" s="54">
        <f t="shared" si="2"/>
        <v>3175000</v>
      </c>
      <c r="F68" s="23">
        <f t="shared" ref="F68:F83" si="12">E68/C68</f>
        <v>0.25</v>
      </c>
      <c r="G68" s="54">
        <f>SUM(G69:G71)</f>
        <v>19940</v>
      </c>
      <c r="H68" s="54">
        <f>SUM(H69:H71)</f>
        <v>21940</v>
      </c>
      <c r="I68" s="54">
        <f t="shared" si="5"/>
        <v>2000</v>
      </c>
      <c r="J68" s="23">
        <f t="shared" si="6"/>
        <v>0.10030090270812438</v>
      </c>
      <c r="K68" s="54">
        <f>SUM(K69:K71)</f>
        <v>16714</v>
      </c>
      <c r="L68" s="54">
        <f>SUM(L69:L71)</f>
        <v>16345.5</v>
      </c>
      <c r="M68" s="54">
        <f t="shared" si="7"/>
        <v>-368.5</v>
      </c>
      <c r="N68" s="23">
        <f t="shared" ref="N68:N85" si="13">M68/K68</f>
        <v>-2.2047385425391888E-2</v>
      </c>
      <c r="Q68" s="32" t="s">
        <v>90</v>
      </c>
      <c r="R68" s="1">
        <f>C68*1.25</f>
        <v>15875000</v>
      </c>
      <c r="W68" s="19">
        <f t="shared" ref="W68:AH68" si="14">INDEX($D$7:$D$46,MATCH(W$59,$A$7:$A$46,0))</f>
        <v>29.6</v>
      </c>
      <c r="X68" s="19">
        <f t="shared" si="14"/>
        <v>15.4</v>
      </c>
      <c r="Y68" s="19">
        <f t="shared" si="14"/>
        <v>36.700000000000003</v>
      </c>
      <c r="Z68" s="19">
        <f t="shared" si="14"/>
        <v>13.6</v>
      </c>
      <c r="AA68" s="19">
        <f t="shared" si="14"/>
        <v>128410</v>
      </c>
      <c r="AB68" s="19">
        <f t="shared" si="14"/>
        <v>2932</v>
      </c>
      <c r="AC68" s="20">
        <f t="shared" si="14"/>
        <v>2.2833112685927887E-2</v>
      </c>
      <c r="AD68" s="25">
        <f t="shared" si="14"/>
        <v>1.1000000000000001E-3</v>
      </c>
      <c r="AE68" s="25">
        <f t="shared" si="14"/>
        <v>3.2000000000000002E-3</v>
      </c>
      <c r="AF68" s="21">
        <f t="shared" si="14"/>
        <v>21.4</v>
      </c>
      <c r="AG68" s="25">
        <f t="shared" si="14"/>
        <v>1.8200000000000001E-2</v>
      </c>
      <c r="AH68" s="25">
        <f t="shared" si="14"/>
        <v>5.0000000000000001E-4</v>
      </c>
    </row>
    <row r="69" spans="1:34" hidden="1" x14ac:dyDescent="0.2">
      <c r="A69" s="5" t="s">
        <v>5</v>
      </c>
      <c r="B69" s="5" t="s">
        <v>44</v>
      </c>
      <c r="C69" s="13">
        <f>$D$24</f>
        <v>6000000</v>
      </c>
      <c r="D69" s="43">
        <v>10850000</v>
      </c>
      <c r="E69" s="37">
        <f t="shared" si="2"/>
        <v>4850000</v>
      </c>
      <c r="F69" s="4">
        <f t="shared" si="12"/>
        <v>0.80833333333333335</v>
      </c>
      <c r="G69" s="37">
        <f>C69*AD68</f>
        <v>6600</v>
      </c>
      <c r="H69" s="37">
        <f>D69*AD68</f>
        <v>11935</v>
      </c>
      <c r="I69" s="37">
        <f t="shared" si="5"/>
        <v>5335</v>
      </c>
      <c r="J69" s="4">
        <f t="shared" si="6"/>
        <v>0.80833333333333335</v>
      </c>
      <c r="K69" s="37">
        <f>S69*(C69/1000)</f>
        <v>3600</v>
      </c>
      <c r="L69" s="37">
        <f>S69*(D69/1000)</f>
        <v>6510</v>
      </c>
      <c r="M69" s="37">
        <f t="shared" si="7"/>
        <v>2910</v>
      </c>
      <c r="N69" s="4">
        <f t="shared" si="13"/>
        <v>0.80833333333333335</v>
      </c>
      <c r="Q69" s="33" t="s">
        <v>89</v>
      </c>
      <c r="R69" s="1">
        <f>C69*0.75</f>
        <v>4500000</v>
      </c>
      <c r="S69" s="35">
        <f>$D$25</f>
        <v>0.6</v>
      </c>
      <c r="AD69" s="16"/>
      <c r="AE69" s="16"/>
      <c r="AG69" s="16"/>
      <c r="AH69" s="16"/>
    </row>
    <row r="70" spans="1:34" hidden="1" x14ac:dyDescent="0.2">
      <c r="A70" s="5" t="s">
        <v>5</v>
      </c>
      <c r="B70" s="5" t="s">
        <v>48</v>
      </c>
      <c r="C70" s="13">
        <f>$D$28</f>
        <v>3700000</v>
      </c>
      <c r="D70" s="43">
        <v>2775000</v>
      </c>
      <c r="E70" s="37">
        <f t="shared" si="2"/>
        <v>-925000</v>
      </c>
      <c r="F70" s="4">
        <f t="shared" si="12"/>
        <v>-0.25</v>
      </c>
      <c r="G70" s="37">
        <f>C70*AE68</f>
        <v>11840</v>
      </c>
      <c r="H70" s="37">
        <f>D70*AE68</f>
        <v>8880</v>
      </c>
      <c r="I70" s="37">
        <f t="shared" si="5"/>
        <v>-2960</v>
      </c>
      <c r="J70" s="4">
        <f t="shared" si="6"/>
        <v>-0.25</v>
      </c>
      <c r="K70" s="37">
        <f t="shared" ref="K70:K71" si="15">S70*(C70/1000)</f>
        <v>11914</v>
      </c>
      <c r="L70" s="37">
        <f>S70*(D70/1000)</f>
        <v>8935.5</v>
      </c>
      <c r="M70" s="37">
        <f t="shared" si="7"/>
        <v>-2978.5</v>
      </c>
      <c r="N70" s="4">
        <f t="shared" si="13"/>
        <v>-0.25</v>
      </c>
      <c r="Q70" s="33" t="s">
        <v>89</v>
      </c>
      <c r="R70" s="1">
        <f>C70*0.75</f>
        <v>2775000</v>
      </c>
      <c r="S70" s="35">
        <f>$D$29</f>
        <v>3.22</v>
      </c>
      <c r="AD70" s="16"/>
      <c r="AE70" s="16"/>
      <c r="AG70" s="16"/>
      <c r="AH70" s="16"/>
    </row>
    <row r="71" spans="1:34" hidden="1" x14ac:dyDescent="0.2">
      <c r="A71" s="5" t="s">
        <v>5</v>
      </c>
      <c r="B71" s="5" t="s">
        <v>52</v>
      </c>
      <c r="C71" s="13">
        <f>$D$32</f>
        <v>3000000</v>
      </c>
      <c r="D71" s="43">
        <v>2250000</v>
      </c>
      <c r="E71" s="37">
        <f t="shared" si="2"/>
        <v>-750000</v>
      </c>
      <c r="F71" s="4">
        <f t="shared" si="12"/>
        <v>-0.25</v>
      </c>
      <c r="G71" s="37">
        <f>AH68*C71</f>
        <v>1500</v>
      </c>
      <c r="H71" s="37">
        <f>AH68*D71</f>
        <v>1125</v>
      </c>
      <c r="I71" s="37">
        <f t="shared" si="5"/>
        <v>-375</v>
      </c>
      <c r="J71" s="4">
        <f t="shared" si="6"/>
        <v>-0.25</v>
      </c>
      <c r="K71" s="37">
        <f t="shared" si="15"/>
        <v>1200</v>
      </c>
      <c r="L71" s="37">
        <f>S71*(D71/1000)</f>
        <v>900</v>
      </c>
      <c r="M71" s="37">
        <f t="shared" si="7"/>
        <v>-300</v>
      </c>
      <c r="N71" s="4">
        <f t="shared" si="13"/>
        <v>-0.25</v>
      </c>
      <c r="Q71" s="33" t="s">
        <v>89</v>
      </c>
      <c r="R71" s="1">
        <f>C71*0.75</f>
        <v>2250000</v>
      </c>
      <c r="S71" s="35">
        <f>$D$33</f>
        <v>0.4</v>
      </c>
      <c r="AD71" s="16"/>
      <c r="AE71" s="16"/>
      <c r="AG71" s="16"/>
      <c r="AH71" s="16"/>
    </row>
    <row r="72" spans="1:34" hidden="1" x14ac:dyDescent="0.2">
      <c r="A72" s="18" t="str">
        <f>A73</f>
        <v>Pakistan</v>
      </c>
      <c r="B72" s="22"/>
      <c r="C72" s="46">
        <f>SUM(C73:C75)</f>
        <v>4700000</v>
      </c>
      <c r="D72" s="54">
        <f>SUM(D73:D75)</f>
        <v>5875000</v>
      </c>
      <c r="E72" s="54">
        <f t="shared" si="2"/>
        <v>1175000</v>
      </c>
      <c r="F72" s="23">
        <f t="shared" si="12"/>
        <v>0.25</v>
      </c>
      <c r="G72" s="54">
        <f>SUM(G73:G75)</f>
        <v>6830</v>
      </c>
      <c r="H72" s="54">
        <f>SUM(H73:H75)</f>
        <v>7942.5</v>
      </c>
      <c r="I72" s="54">
        <f t="shared" si="5"/>
        <v>1112.5</v>
      </c>
      <c r="J72" s="23">
        <f t="shared" si="6"/>
        <v>0.16288433382137629</v>
      </c>
      <c r="K72" s="54">
        <f>SUM(K73:K75)</f>
        <v>4857</v>
      </c>
      <c r="L72" s="54">
        <f>SUM(L73:L75)</f>
        <v>4982.25</v>
      </c>
      <c r="M72" s="54">
        <f t="shared" si="7"/>
        <v>125.25</v>
      </c>
      <c r="N72" s="23">
        <f t="shared" si="13"/>
        <v>2.5787523162445956E-2</v>
      </c>
      <c r="Q72" s="32" t="s">
        <v>90</v>
      </c>
      <c r="R72" s="1">
        <f>C72*1.25</f>
        <v>5875000</v>
      </c>
      <c r="W72" s="19">
        <f t="shared" ref="W72:AH72" si="16">INDEX($E$7:$E$46,MATCH(W$59,$A$7:$A$46,0))</f>
        <v>193.2</v>
      </c>
      <c r="X72" s="19">
        <f t="shared" si="16"/>
        <v>20.399999999999999</v>
      </c>
      <c r="Y72" s="19">
        <f t="shared" si="16"/>
        <v>111</v>
      </c>
      <c r="Z72" s="19">
        <f t="shared" si="16"/>
        <v>8</v>
      </c>
      <c r="AA72" s="19">
        <f t="shared" si="16"/>
        <v>316425</v>
      </c>
      <c r="AB72" s="19">
        <f t="shared" si="16"/>
        <v>18994</v>
      </c>
      <c r="AC72" s="20">
        <f t="shared" si="16"/>
        <v>6.0026862605672748E-2</v>
      </c>
      <c r="AD72" s="25">
        <f t="shared" si="16"/>
        <v>1.1999999999999999E-3</v>
      </c>
      <c r="AE72" s="25">
        <f t="shared" si="16"/>
        <v>5.8999999999999999E-3</v>
      </c>
      <c r="AF72" s="21">
        <f t="shared" si="16"/>
        <v>26.5</v>
      </c>
      <c r="AG72" s="25">
        <f t="shared" si="16"/>
        <v>2.64E-2</v>
      </c>
      <c r="AH72" s="25">
        <f t="shared" si="16"/>
        <v>5.0000000000000001E-4</v>
      </c>
    </row>
    <row r="73" spans="1:34" ht="12" hidden="1" customHeight="1" x14ac:dyDescent="0.2">
      <c r="A73" s="5" t="s">
        <v>6</v>
      </c>
      <c r="B73" s="5" t="s">
        <v>44</v>
      </c>
      <c r="C73" s="13">
        <f>$E$24</f>
        <v>1000000</v>
      </c>
      <c r="D73" s="43">
        <v>3100000</v>
      </c>
      <c r="E73" s="37">
        <f t="shared" si="2"/>
        <v>2100000</v>
      </c>
      <c r="F73" s="4">
        <f t="shared" si="12"/>
        <v>2.1</v>
      </c>
      <c r="G73" s="37">
        <f>C73*AD72</f>
        <v>1200</v>
      </c>
      <c r="H73" s="37">
        <f>D73*AD72</f>
        <v>3719.9999999999995</v>
      </c>
      <c r="I73" s="37">
        <f t="shared" si="5"/>
        <v>2519.9999999999995</v>
      </c>
      <c r="J73" s="4">
        <f t="shared" si="6"/>
        <v>2.0999999999999996</v>
      </c>
      <c r="K73" s="37">
        <f>S73*(C73/1000)</f>
        <v>570</v>
      </c>
      <c r="L73" s="37">
        <f>S73*(D73/1000)</f>
        <v>1766.9999999999998</v>
      </c>
      <c r="M73" s="37">
        <f t="shared" si="7"/>
        <v>1196.9999999999998</v>
      </c>
      <c r="N73" s="4">
        <f t="shared" si="13"/>
        <v>2.0999999999999996</v>
      </c>
      <c r="Q73" s="33" t="s">
        <v>89</v>
      </c>
      <c r="R73" s="1">
        <f>C73*0.75</f>
        <v>750000</v>
      </c>
      <c r="S73" s="35">
        <f>$E$25</f>
        <v>0.56999999999999995</v>
      </c>
      <c r="AD73" s="16"/>
      <c r="AE73" s="16"/>
      <c r="AG73" s="16"/>
      <c r="AH73" s="16"/>
    </row>
    <row r="74" spans="1:34" hidden="1" x14ac:dyDescent="0.2">
      <c r="A74" s="5" t="s">
        <v>6</v>
      </c>
      <c r="B74" s="5" t="s">
        <v>48</v>
      </c>
      <c r="C74" s="13">
        <f>$E$28</f>
        <v>700000</v>
      </c>
      <c r="D74" s="43">
        <v>525000</v>
      </c>
      <c r="E74" s="37">
        <f t="shared" si="2"/>
        <v>-175000</v>
      </c>
      <c r="F74" s="4">
        <f t="shared" si="12"/>
        <v>-0.25</v>
      </c>
      <c r="G74" s="37">
        <f>C74*AE72</f>
        <v>4130</v>
      </c>
      <c r="H74" s="37">
        <f>D74*AE72</f>
        <v>3097.5</v>
      </c>
      <c r="I74" s="37">
        <f t="shared" si="5"/>
        <v>-1032.5</v>
      </c>
      <c r="J74" s="4">
        <f t="shared" si="6"/>
        <v>-0.25</v>
      </c>
      <c r="K74" s="37">
        <f t="shared" ref="K74:K75" si="17">S74*(C74/1000)</f>
        <v>3087</v>
      </c>
      <c r="L74" s="37">
        <f>S74*(D74/1000)</f>
        <v>2315.25</v>
      </c>
      <c r="M74" s="37">
        <f t="shared" si="7"/>
        <v>-771.75</v>
      </c>
      <c r="N74" s="4">
        <f t="shared" si="13"/>
        <v>-0.25</v>
      </c>
      <c r="Q74" s="33" t="s">
        <v>89</v>
      </c>
      <c r="R74" s="1">
        <f>C74*0.75</f>
        <v>525000</v>
      </c>
      <c r="S74" s="35">
        <f>$E$29</f>
        <v>4.41</v>
      </c>
      <c r="AC74" s="9"/>
      <c r="AD74" s="16"/>
      <c r="AE74" s="16"/>
      <c r="AG74" s="16"/>
      <c r="AH74" s="16"/>
    </row>
    <row r="75" spans="1:34" hidden="1" x14ac:dyDescent="0.2">
      <c r="A75" s="5" t="s">
        <v>6</v>
      </c>
      <c r="B75" s="5" t="s">
        <v>52</v>
      </c>
      <c r="C75" s="13">
        <f>$E$32</f>
        <v>3000000</v>
      </c>
      <c r="D75" s="43">
        <v>2250000</v>
      </c>
      <c r="E75" s="37">
        <f t="shared" si="2"/>
        <v>-750000</v>
      </c>
      <c r="F75" s="4">
        <f t="shared" si="12"/>
        <v>-0.25</v>
      </c>
      <c r="G75" s="37">
        <f>AH72*C75</f>
        <v>1500</v>
      </c>
      <c r="H75" s="37">
        <f>AH72*D75</f>
        <v>1125</v>
      </c>
      <c r="I75" s="37">
        <f t="shared" si="5"/>
        <v>-375</v>
      </c>
      <c r="J75" s="4">
        <f t="shared" si="6"/>
        <v>-0.25</v>
      </c>
      <c r="K75" s="37">
        <f t="shared" si="17"/>
        <v>1200</v>
      </c>
      <c r="L75" s="37">
        <f>S75*(D75/1000)</f>
        <v>900</v>
      </c>
      <c r="M75" s="37">
        <f t="shared" si="7"/>
        <v>-300</v>
      </c>
      <c r="N75" s="4">
        <f t="shared" si="13"/>
        <v>-0.25</v>
      </c>
      <c r="Q75" s="33" t="s">
        <v>89</v>
      </c>
      <c r="R75" s="1">
        <f>C75*0.75</f>
        <v>2250000</v>
      </c>
      <c r="S75" s="35">
        <f>$E$33</f>
        <v>0.4</v>
      </c>
      <c r="AC75" s="9"/>
      <c r="AD75" s="16"/>
      <c r="AE75" s="16"/>
      <c r="AG75" s="16"/>
      <c r="AH75" s="16"/>
    </row>
    <row r="76" spans="1:34" hidden="1" x14ac:dyDescent="0.2">
      <c r="A76" s="18" t="str">
        <f>A77</f>
        <v>Philippines</v>
      </c>
      <c r="B76" s="22"/>
      <c r="C76" s="46">
        <f>SUM(C77:C79)</f>
        <v>12700000</v>
      </c>
      <c r="D76" s="54">
        <f>SUM(D77:D79)</f>
        <v>15875000</v>
      </c>
      <c r="E76" s="54">
        <f t="shared" si="2"/>
        <v>3175000</v>
      </c>
      <c r="F76" s="23">
        <f t="shared" si="12"/>
        <v>0.25</v>
      </c>
      <c r="G76" s="54">
        <f>SUM(G77:G79)</f>
        <v>25860</v>
      </c>
      <c r="H76" s="54">
        <f>SUM(H77:H79)</f>
        <v>26380</v>
      </c>
      <c r="I76" s="54">
        <f t="shared" si="5"/>
        <v>520</v>
      </c>
      <c r="J76" s="23">
        <f t="shared" si="6"/>
        <v>2.0108275328692964E-2</v>
      </c>
      <c r="K76" s="54">
        <f>SUM(K77:K79)</f>
        <v>18805</v>
      </c>
      <c r="L76" s="54">
        <f>SUM(L77:L79)</f>
        <v>17659.75</v>
      </c>
      <c r="M76" s="54">
        <f t="shared" si="7"/>
        <v>-1145.25</v>
      </c>
      <c r="N76" s="23">
        <f t="shared" si="13"/>
        <v>-6.0901356022334485E-2</v>
      </c>
      <c r="Q76" s="32" t="s">
        <v>90</v>
      </c>
      <c r="R76" s="1">
        <f>C76*1.25</f>
        <v>15875000</v>
      </c>
      <c r="W76" s="19">
        <f t="shared" ref="W76:AH76" si="18">INDEX($F$7:$F$46,MATCH(W$59,$A$7:$A$46,0))</f>
        <v>105.7</v>
      </c>
      <c r="X76" s="19">
        <f t="shared" si="18"/>
        <v>8.3000000000000007</v>
      </c>
      <c r="Y76" s="19">
        <f t="shared" si="18"/>
        <v>94.2</v>
      </c>
      <c r="Z76" s="19">
        <f t="shared" si="18"/>
        <v>29.9</v>
      </c>
      <c r="AA76" s="19">
        <f t="shared" si="18"/>
        <v>203907</v>
      </c>
      <c r="AB76" s="19">
        <f t="shared" si="18"/>
        <v>2204</v>
      </c>
      <c r="AC76" s="20">
        <f t="shared" si="18"/>
        <v>1.0808849132202425E-2</v>
      </c>
      <c r="AD76" s="25">
        <f t="shared" si="18"/>
        <v>1.1000000000000001E-3</v>
      </c>
      <c r="AE76" s="25">
        <f t="shared" si="18"/>
        <v>4.7999999999999996E-3</v>
      </c>
      <c r="AF76" s="21">
        <f t="shared" si="18"/>
        <v>32.4</v>
      </c>
      <c r="AG76" s="25">
        <f t="shared" si="18"/>
        <v>1.8100000000000002E-2</v>
      </c>
      <c r="AH76" s="25">
        <f t="shared" si="18"/>
        <v>5.0000000000000001E-4</v>
      </c>
    </row>
    <row r="77" spans="1:34" hidden="1" x14ac:dyDescent="0.2">
      <c r="A77" s="5" t="s">
        <v>7</v>
      </c>
      <c r="B77" s="5" t="s">
        <v>44</v>
      </c>
      <c r="C77" s="13">
        <f>$F$24</f>
        <v>6000000</v>
      </c>
      <c r="D77" s="43">
        <v>10850000</v>
      </c>
      <c r="E77" s="37">
        <f t="shared" si="2"/>
        <v>4850000</v>
      </c>
      <c r="F77" s="4">
        <f t="shared" si="12"/>
        <v>0.80833333333333335</v>
      </c>
      <c r="G77" s="37">
        <f>C77*AD76</f>
        <v>6600</v>
      </c>
      <c r="H77" s="37">
        <f>D77*AD76</f>
        <v>11935</v>
      </c>
      <c r="I77" s="37">
        <f t="shared" si="5"/>
        <v>5335</v>
      </c>
      <c r="J77" s="4">
        <f t="shared" si="6"/>
        <v>0.80833333333333335</v>
      </c>
      <c r="K77" s="37">
        <f>S77*(C77/1000)</f>
        <v>3360.0000000000005</v>
      </c>
      <c r="L77" s="37">
        <f>S77*(D77/1000)</f>
        <v>6076.0000000000009</v>
      </c>
      <c r="M77" s="37">
        <f t="shared" si="7"/>
        <v>2716.0000000000005</v>
      </c>
      <c r="N77" s="4">
        <f t="shared" si="13"/>
        <v>0.80833333333333335</v>
      </c>
      <c r="Q77" s="33" t="s">
        <v>89</v>
      </c>
      <c r="R77" s="1">
        <f>C77*0.75</f>
        <v>4500000</v>
      </c>
      <c r="S77" s="35">
        <f>$F$25</f>
        <v>0.56000000000000005</v>
      </c>
      <c r="AD77" s="16"/>
      <c r="AE77" s="16"/>
      <c r="AG77" s="16"/>
      <c r="AH77" s="16"/>
    </row>
    <row r="78" spans="1:34" hidden="1" x14ac:dyDescent="0.2">
      <c r="A78" s="5" t="s">
        <v>7</v>
      </c>
      <c r="B78" s="5" t="s">
        <v>48</v>
      </c>
      <c r="C78" s="13">
        <f>$F$28</f>
        <v>3700000</v>
      </c>
      <c r="D78" s="43">
        <v>2775000</v>
      </c>
      <c r="E78" s="37">
        <f t="shared" si="2"/>
        <v>-925000</v>
      </c>
      <c r="F78" s="4">
        <f t="shared" si="12"/>
        <v>-0.25</v>
      </c>
      <c r="G78" s="37">
        <f>C78*AE76</f>
        <v>17760</v>
      </c>
      <c r="H78" s="37">
        <f>D78*AE76</f>
        <v>13319.999999999998</v>
      </c>
      <c r="I78" s="37">
        <f t="shared" si="5"/>
        <v>-4440.0000000000018</v>
      </c>
      <c r="J78" s="4">
        <f t="shared" si="6"/>
        <v>-0.25000000000000011</v>
      </c>
      <c r="K78" s="37">
        <f t="shared" ref="K78:K79" si="19">S78*(C78/1000)</f>
        <v>14245</v>
      </c>
      <c r="L78" s="37">
        <f>S78*(D78/1000)</f>
        <v>10683.75</v>
      </c>
      <c r="M78" s="37">
        <f t="shared" si="7"/>
        <v>-3561.25</v>
      </c>
      <c r="N78" s="4">
        <f t="shared" si="13"/>
        <v>-0.25</v>
      </c>
      <c r="Q78" s="33" t="s">
        <v>89</v>
      </c>
      <c r="R78" s="1">
        <f>C78*0.75</f>
        <v>2775000</v>
      </c>
      <c r="S78" s="35">
        <f>$F$29</f>
        <v>3.85</v>
      </c>
      <c r="AD78" s="16"/>
      <c r="AE78" s="16"/>
      <c r="AG78" s="16"/>
      <c r="AH78" s="16"/>
    </row>
    <row r="79" spans="1:34" hidden="1" x14ac:dyDescent="0.2">
      <c r="A79" s="5" t="s">
        <v>7</v>
      </c>
      <c r="B79" s="5" t="s">
        <v>52</v>
      </c>
      <c r="C79" s="13">
        <f>$F$32</f>
        <v>3000000</v>
      </c>
      <c r="D79" s="43">
        <v>2250000</v>
      </c>
      <c r="E79" s="37">
        <f t="shared" si="2"/>
        <v>-750000</v>
      </c>
      <c r="F79" s="4">
        <f t="shared" si="12"/>
        <v>-0.25</v>
      </c>
      <c r="G79" s="37">
        <f>AH76*C79</f>
        <v>1500</v>
      </c>
      <c r="H79" s="37">
        <f>AH76*D79</f>
        <v>1125</v>
      </c>
      <c r="I79" s="37">
        <f t="shared" si="5"/>
        <v>-375</v>
      </c>
      <c r="J79" s="4">
        <f t="shared" si="6"/>
        <v>-0.25</v>
      </c>
      <c r="K79" s="37">
        <f t="shared" si="19"/>
        <v>1200</v>
      </c>
      <c r="L79" s="37">
        <f>S79*(D79/1000)</f>
        <v>900</v>
      </c>
      <c r="M79" s="37">
        <f t="shared" si="7"/>
        <v>-300</v>
      </c>
      <c r="N79" s="4">
        <f t="shared" si="13"/>
        <v>-0.25</v>
      </c>
      <c r="Q79" s="33" t="s">
        <v>89</v>
      </c>
      <c r="R79" s="1">
        <f>C79*0.75</f>
        <v>2250000</v>
      </c>
      <c r="S79" s="35">
        <f>$F$33</f>
        <v>0.4</v>
      </c>
      <c r="AD79" s="16"/>
      <c r="AE79" s="16"/>
      <c r="AG79" s="16"/>
      <c r="AH79" s="16"/>
    </row>
    <row r="80" spans="1:34" hidden="1" x14ac:dyDescent="0.2">
      <c r="A80" s="18" t="str">
        <f>A81</f>
        <v>Singapore</v>
      </c>
      <c r="B80" s="22"/>
      <c r="C80" s="46">
        <f>SUM(C81:C83)</f>
        <v>6350000</v>
      </c>
      <c r="D80" s="54">
        <f>SUM(D81:D83)</f>
        <v>7937500</v>
      </c>
      <c r="E80" s="54">
        <f t="shared" si="2"/>
        <v>1587500</v>
      </c>
      <c r="F80" s="23">
        <f t="shared" si="12"/>
        <v>0.25</v>
      </c>
      <c r="G80" s="54">
        <f>SUM(G81:G83)</f>
        <v>8490</v>
      </c>
      <c r="H80" s="54">
        <f>SUM(H81:H83)</f>
        <v>10177.5</v>
      </c>
      <c r="I80" s="54">
        <f t="shared" si="5"/>
        <v>1687.5</v>
      </c>
      <c r="J80" s="23">
        <f t="shared" si="6"/>
        <v>0.19876325088339222</v>
      </c>
      <c r="K80" s="54">
        <f>SUM(K81:K83)</f>
        <v>10180</v>
      </c>
      <c r="L80" s="54">
        <f>SUM(L81:L83)</f>
        <v>9889.25</v>
      </c>
      <c r="M80" s="54">
        <f t="shared" si="7"/>
        <v>-290.75</v>
      </c>
      <c r="N80" s="23">
        <f t="shared" si="13"/>
        <v>-2.856090373280943E-2</v>
      </c>
      <c r="Q80" s="32" t="s">
        <v>90</v>
      </c>
      <c r="R80" s="1">
        <f>C80*1.25</f>
        <v>7937500</v>
      </c>
      <c r="W80" s="19">
        <f t="shared" ref="W80:AH80" si="20">INDEX($G$7:$G$46,MATCH(W$59,$A$7:$A$46,0))</f>
        <v>5.5</v>
      </c>
      <c r="X80" s="19">
        <f t="shared" si="20"/>
        <v>3.2</v>
      </c>
      <c r="Y80" s="19">
        <f t="shared" si="20"/>
        <v>7.8</v>
      </c>
      <c r="Z80" s="19">
        <f t="shared" si="20"/>
        <v>2.9</v>
      </c>
      <c r="AA80" s="19">
        <f t="shared" si="20"/>
        <v>15595</v>
      </c>
      <c r="AB80" s="19">
        <f t="shared" si="20"/>
        <v>1496</v>
      </c>
      <c r="AC80" s="20">
        <f t="shared" si="20"/>
        <v>9.5928182109650525E-2</v>
      </c>
      <c r="AD80" s="25">
        <f t="shared" si="20"/>
        <v>1.1999999999999999E-3</v>
      </c>
      <c r="AE80" s="25">
        <f t="shared" si="20"/>
        <v>3.3999999999999998E-3</v>
      </c>
      <c r="AF80" s="21">
        <f t="shared" si="20"/>
        <v>20.6</v>
      </c>
      <c r="AG80" s="25">
        <f t="shared" si="20"/>
        <v>1.83E-2</v>
      </c>
      <c r="AH80" s="25">
        <f t="shared" si="20"/>
        <v>5.0000000000000001E-4</v>
      </c>
    </row>
    <row r="81" spans="1:19" hidden="1" x14ac:dyDescent="0.2">
      <c r="A81" s="5" t="s">
        <v>8</v>
      </c>
      <c r="B81" s="5" t="s">
        <v>44</v>
      </c>
      <c r="C81" s="13">
        <f>$G$24</f>
        <v>2000000</v>
      </c>
      <c r="D81" s="43">
        <v>4675000</v>
      </c>
      <c r="E81" s="37">
        <f t="shared" si="2"/>
        <v>2675000</v>
      </c>
      <c r="F81" s="4">
        <f t="shared" si="12"/>
        <v>1.3374999999999999</v>
      </c>
      <c r="G81" s="37">
        <f>C81*AD80</f>
        <v>2400</v>
      </c>
      <c r="H81" s="37">
        <f>D81*AD80</f>
        <v>5609.9999999999991</v>
      </c>
      <c r="I81" s="37">
        <f t="shared" si="5"/>
        <v>3209.9999999999991</v>
      </c>
      <c r="J81" s="4">
        <f t="shared" si="6"/>
        <v>1.3374999999999997</v>
      </c>
      <c r="K81" s="37">
        <f>S81*(C81/1000)</f>
        <v>1420</v>
      </c>
      <c r="L81" s="37">
        <f>S81*(D81/1000)</f>
        <v>3319.25</v>
      </c>
      <c r="M81" s="37">
        <f t="shared" si="7"/>
        <v>1899.25</v>
      </c>
      <c r="N81" s="4">
        <f t="shared" si="13"/>
        <v>1.3374999999999999</v>
      </c>
      <c r="Q81" s="33" t="s">
        <v>89</v>
      </c>
      <c r="R81" s="1">
        <f>C81*0.75</f>
        <v>1500000</v>
      </c>
      <c r="S81" s="35">
        <f>$G$25</f>
        <v>0.71</v>
      </c>
    </row>
    <row r="82" spans="1:19" hidden="1" x14ac:dyDescent="0.2">
      <c r="A82" s="5" t="s">
        <v>8</v>
      </c>
      <c r="B82" s="5" t="s">
        <v>48</v>
      </c>
      <c r="C82" s="13">
        <f>$G$28</f>
        <v>1350000</v>
      </c>
      <c r="D82" s="43">
        <v>1012500</v>
      </c>
      <c r="E82" s="37">
        <f t="shared" si="2"/>
        <v>-337500</v>
      </c>
      <c r="F82" s="4">
        <f t="shared" si="12"/>
        <v>-0.25</v>
      </c>
      <c r="G82" s="37">
        <f>C82*AE80</f>
        <v>4590</v>
      </c>
      <c r="H82" s="37">
        <f>D82*AE80</f>
        <v>3442.5</v>
      </c>
      <c r="I82" s="37">
        <f t="shared" si="5"/>
        <v>-1147.5</v>
      </c>
      <c r="J82" s="4">
        <f t="shared" si="6"/>
        <v>-0.25</v>
      </c>
      <c r="K82" s="37">
        <f t="shared" ref="K82:K83" si="21">S82*(C82/1000)</f>
        <v>7559.9999999999991</v>
      </c>
      <c r="L82" s="37">
        <f>S82*(D82/1000)</f>
        <v>5670</v>
      </c>
      <c r="M82" s="37">
        <f t="shared" si="7"/>
        <v>-1889.9999999999991</v>
      </c>
      <c r="N82" s="4">
        <f t="shared" si="13"/>
        <v>-0.24999999999999992</v>
      </c>
      <c r="Q82" s="33" t="s">
        <v>89</v>
      </c>
      <c r="R82" s="1">
        <f>C82*0.75</f>
        <v>1012500</v>
      </c>
      <c r="S82" s="35">
        <f>$G$29</f>
        <v>5.6</v>
      </c>
    </row>
    <row r="83" spans="1:19" hidden="1" x14ac:dyDescent="0.2">
      <c r="A83" s="5" t="s">
        <v>8</v>
      </c>
      <c r="B83" s="5" t="s">
        <v>52</v>
      </c>
      <c r="C83" s="13">
        <f>$G$32</f>
        <v>3000000</v>
      </c>
      <c r="D83" s="43">
        <v>2250000</v>
      </c>
      <c r="E83" s="37">
        <f t="shared" si="2"/>
        <v>-750000</v>
      </c>
      <c r="F83" s="4">
        <f t="shared" si="12"/>
        <v>-0.25</v>
      </c>
      <c r="G83" s="37">
        <f>AH80*C83</f>
        <v>1500</v>
      </c>
      <c r="H83" s="37">
        <f>AH80*D83</f>
        <v>1125</v>
      </c>
      <c r="I83" s="37">
        <f t="shared" si="5"/>
        <v>-375</v>
      </c>
      <c r="J83" s="4">
        <f t="shared" si="6"/>
        <v>-0.25</v>
      </c>
      <c r="K83" s="37">
        <f t="shared" si="21"/>
        <v>1200</v>
      </c>
      <c r="L83" s="37">
        <f>S83*(D83/1000)</f>
        <v>900</v>
      </c>
      <c r="M83" s="37">
        <f t="shared" si="7"/>
        <v>-300</v>
      </c>
      <c r="N83" s="4">
        <f t="shared" si="13"/>
        <v>-0.25</v>
      </c>
      <c r="Q83" s="33" t="s">
        <v>89</v>
      </c>
      <c r="R83" s="1">
        <f>C83*0.75</f>
        <v>2250000</v>
      </c>
      <c r="S83" s="35">
        <f>$G$33</f>
        <v>0.4</v>
      </c>
    </row>
    <row r="84" spans="1:19" hidden="1" x14ac:dyDescent="0.2">
      <c r="A84" s="146" t="s">
        <v>108</v>
      </c>
      <c r="B84" s="146"/>
      <c r="C84" s="46"/>
      <c r="D84" s="46"/>
      <c r="E84" s="46"/>
      <c r="F84" s="23"/>
      <c r="G84" s="46"/>
      <c r="H84" s="46"/>
      <c r="I84" s="46"/>
      <c r="J84" s="23"/>
      <c r="K84" s="54">
        <f>SUM(K80,K76,K72,K68,K64,K60)*0.09</f>
        <v>8556.84</v>
      </c>
      <c r="L84" s="54">
        <f>SUM(L80,L76,L72,L68,L64,L60)*0.09</f>
        <v>7844.0366879999992</v>
      </c>
      <c r="M84" s="54">
        <f>SUM(M80,M76,M72,M68,M64,M60)*0.09</f>
        <v>-712.80331200000012</v>
      </c>
      <c r="N84" s="23">
        <f t="shared" si="13"/>
        <v>-8.3302166687702475E-2</v>
      </c>
      <c r="Q84" s="33"/>
      <c r="S84" s="35"/>
    </row>
    <row r="85" spans="1:19" hidden="1" x14ac:dyDescent="0.2">
      <c r="A85" s="146" t="s">
        <v>103</v>
      </c>
      <c r="B85" s="146"/>
      <c r="C85" s="46">
        <f>SUM(C80,C76,C72,C68,C64,C60)</f>
        <v>58650000</v>
      </c>
      <c r="D85" s="46">
        <f>SUM(D80,D76,D72,D68,D64,D60)</f>
        <v>72404283</v>
      </c>
      <c r="E85" s="46">
        <f>SUM(E80,E76,E72,E68,E64,E60)</f>
        <v>13754283</v>
      </c>
      <c r="F85" s="23">
        <f>E85/C85</f>
        <v>0.23451462915601023</v>
      </c>
      <c r="G85" s="46">
        <f>SUM(G80,G76,G72,G68,G64,G60)</f>
        <v>96380</v>
      </c>
      <c r="H85" s="46">
        <f>SUM(H80,H76,H72,H68,H64,H60)</f>
        <v>100480.8915</v>
      </c>
      <c r="I85" s="46">
        <f>SUM(I80,I76,I72,I68,I64,I60)</f>
        <v>4100.8914999999997</v>
      </c>
      <c r="J85" s="23">
        <f t="shared" si="6"/>
        <v>4.2549195891263741E-2</v>
      </c>
      <c r="K85" s="54">
        <f>SUM(K80,K76,K72,K68,K64,K60)*1.09</f>
        <v>103632.84000000001</v>
      </c>
      <c r="L85" s="54">
        <f>SUM(L81:L83,L77:L79,L73:L74,L75,L69:L71,L65:L67,L61:L63)*1.09</f>
        <v>94999.999888000006</v>
      </c>
      <c r="M85" s="46">
        <f>SUM(M80,M76,M72,M68,M64,M60)</f>
        <v>-7920.0368000000017</v>
      </c>
      <c r="N85" s="23">
        <f t="shared" si="13"/>
        <v>-7.6424006135506858E-2</v>
      </c>
      <c r="Q85" s="22"/>
      <c r="R85" s="22"/>
      <c r="S85" s="22"/>
    </row>
    <row r="86" spans="1:19" hidden="1" x14ac:dyDescent="0.2">
      <c r="A86" s="45"/>
      <c r="B86" s="45"/>
      <c r="C86" s="13"/>
      <c r="D86" s="13"/>
      <c r="F86" s="13"/>
      <c r="G86" s="4"/>
      <c r="H86" s="13"/>
      <c r="I86" s="13"/>
      <c r="J86" s="13"/>
      <c r="K86" s="4"/>
    </row>
    <row r="87" spans="1:19" hidden="1" x14ac:dyDescent="0.2">
      <c r="A87" s="5" t="s">
        <v>80</v>
      </c>
      <c r="B87" s="5" t="s">
        <v>81</v>
      </c>
    </row>
    <row r="88" spans="1:19" hidden="1" x14ac:dyDescent="0.2">
      <c r="A88" s="5" t="s">
        <v>80</v>
      </c>
      <c r="B88" s="5" t="s">
        <v>82</v>
      </c>
    </row>
    <row r="89" spans="1:19" hidden="1" x14ac:dyDescent="0.2">
      <c r="A89" s="1" t="s">
        <v>95</v>
      </c>
    </row>
    <row r="90" spans="1:19" hidden="1" x14ac:dyDescent="0.2"/>
  </sheetData>
  <autoFilter ref="Q59:Q83" xr:uid="{A4ED33EC-C373-4EED-8FC6-4DE0894FA8B3}"/>
  <mergeCells count="8">
    <mergeCell ref="A85:B85"/>
    <mergeCell ref="A84:B84"/>
    <mergeCell ref="I36:J36"/>
    <mergeCell ref="I32:K34"/>
    <mergeCell ref="L43:L44"/>
    <mergeCell ref="C58:F58"/>
    <mergeCell ref="G58:J58"/>
    <mergeCell ref="K58:N58"/>
  </mergeCells>
  <conditionalFormatting sqref="E60:F83 G86 F85 K86 J85">
    <cfRule type="cellIs" dxfId="5" priority="9" operator="lessThan">
      <formula>0</formula>
    </cfRule>
  </conditionalFormatting>
  <conditionalFormatting sqref="I60:J83">
    <cfRule type="cellIs" dxfId="4" priority="8" operator="lessThan">
      <formula>0</formula>
    </cfRule>
  </conditionalFormatting>
  <conditionalFormatting sqref="N85">
    <cfRule type="cellIs" dxfId="3" priority="5" operator="lessThan">
      <formula>0</formula>
    </cfRule>
  </conditionalFormatting>
  <conditionalFormatting sqref="M60:N83">
    <cfRule type="cellIs" dxfId="2" priority="4" operator="lessThan">
      <formula>0</formula>
    </cfRule>
  </conditionalFormatting>
  <conditionalFormatting sqref="F84 J84">
    <cfRule type="cellIs" dxfId="1" priority="3" operator="lessThan">
      <formula>0</formula>
    </cfRule>
  </conditionalFormatting>
  <conditionalFormatting sqref="N84">
    <cfRule type="cellIs" dxfId="0" priority="1" operator="lessThan">
      <formula>0</formula>
    </cfRule>
  </conditionalFormatting>
  <pageMargins left="0.25" right="0.25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3E9D-B10B-4F05-8F07-27819B6DD60E}">
  <dimension ref="B2:M10"/>
  <sheetViews>
    <sheetView showGridLines="0" workbookViewId="0">
      <selection activeCell="D9" sqref="D9"/>
    </sheetView>
  </sheetViews>
  <sheetFormatPr defaultRowHeight="12.75" x14ac:dyDescent="0.2"/>
  <cols>
    <col min="1" max="1" width="5.28515625" customWidth="1"/>
    <col min="3" max="11" width="12.7109375" customWidth="1"/>
    <col min="12" max="12" width="10.28515625" bestFit="1" customWidth="1"/>
  </cols>
  <sheetData>
    <row r="2" spans="2:13" x14ac:dyDescent="0.2">
      <c r="F2" s="161" t="s">
        <v>33</v>
      </c>
      <c r="G2" s="162"/>
      <c r="H2" s="163"/>
      <c r="I2" s="164" t="s">
        <v>137</v>
      </c>
      <c r="J2" s="165"/>
      <c r="K2" s="166"/>
    </row>
    <row r="3" spans="2:13" ht="38.25" x14ac:dyDescent="0.2">
      <c r="C3" s="24" t="s">
        <v>138</v>
      </c>
      <c r="D3" s="123" t="s">
        <v>71</v>
      </c>
      <c r="E3" s="123" t="s">
        <v>72</v>
      </c>
      <c r="F3" s="128" t="s">
        <v>139</v>
      </c>
      <c r="G3" s="129" t="s">
        <v>140</v>
      </c>
      <c r="H3" s="130" t="s">
        <v>141</v>
      </c>
      <c r="I3" s="128" t="s">
        <v>97</v>
      </c>
      <c r="J3" s="129" t="s">
        <v>135</v>
      </c>
      <c r="K3" s="130" t="s">
        <v>136</v>
      </c>
    </row>
    <row r="4" spans="2:13" x14ac:dyDescent="0.2">
      <c r="B4" s="18" t="s">
        <v>3</v>
      </c>
      <c r="C4" s="126">
        <f>'Model 2.'!S61</f>
        <v>51.1</v>
      </c>
      <c r="D4" s="131">
        <f>'Model 2.'!AC61</f>
        <v>12.9</v>
      </c>
      <c r="E4" s="132">
        <f>'Model 2.'!AD61</f>
        <v>1.9599999999999999E-2</v>
      </c>
      <c r="F4" s="126">
        <f>('Model 1'!C60)/1000000</f>
        <v>12.5</v>
      </c>
      <c r="G4" s="126">
        <f>('Model 1'!D60)/1000000</f>
        <v>9.375</v>
      </c>
      <c r="H4" s="126">
        <f>('Model 2.'!D61)/1000000</f>
        <v>15.33</v>
      </c>
      <c r="I4" s="124">
        <f>F4/$C4</f>
        <v>0.2446183953033268</v>
      </c>
      <c r="J4" s="124">
        <f t="shared" ref="J4:J9" si="0">G4/$C4</f>
        <v>0.18346379647749511</v>
      </c>
      <c r="K4" s="124">
        <f t="shared" ref="K4:K9" si="1">H4/$C4</f>
        <v>0.3</v>
      </c>
    </row>
    <row r="5" spans="2:13" x14ac:dyDescent="0.2">
      <c r="B5" s="18" t="s">
        <v>4</v>
      </c>
      <c r="C5" s="126">
        <f>'Model 2.'!S65</f>
        <v>10</v>
      </c>
      <c r="D5" s="133">
        <f>'Model 2.'!AC65</f>
        <v>41.1</v>
      </c>
      <c r="E5" s="134">
        <f>'Model 2.'!AD65</f>
        <v>2.3900000000000001E-2</v>
      </c>
      <c r="F5" s="126">
        <f>('Model 1'!C64)/1000000</f>
        <v>9.6999999999999993</v>
      </c>
      <c r="G5" s="126">
        <f>('Model 1'!D64)/1000000</f>
        <v>12.125</v>
      </c>
      <c r="H5" s="126">
        <f>('Model 2.'!D65)/1000000</f>
        <v>10</v>
      </c>
      <c r="I5" s="124">
        <f t="shared" ref="I5:I9" si="2">F5/$C5</f>
        <v>0.97</v>
      </c>
      <c r="J5" s="124">
        <f t="shared" si="0"/>
        <v>1.2124999999999999</v>
      </c>
      <c r="K5" s="135">
        <f t="shared" si="1"/>
        <v>1</v>
      </c>
      <c r="L5" s="136" t="s">
        <v>52</v>
      </c>
    </row>
    <row r="6" spans="2:13" x14ac:dyDescent="0.2">
      <c r="B6" s="18" t="s">
        <v>5</v>
      </c>
      <c r="C6" s="126">
        <f>'Model 2.'!S69</f>
        <v>13.6</v>
      </c>
      <c r="D6" s="126">
        <f>'Model 2.'!AC69</f>
        <v>21.4</v>
      </c>
      <c r="E6" s="132">
        <f>'Model 2.'!AD69</f>
        <v>1.8200000000000001E-2</v>
      </c>
      <c r="F6" s="126">
        <f>('Model 1'!C68)/1000000</f>
        <v>12.7</v>
      </c>
      <c r="G6" s="126">
        <f>('Model 1'!D68)/1000000</f>
        <v>9.5250000000000004</v>
      </c>
      <c r="H6" s="126">
        <f>('Model 2.'!D69)/1000000</f>
        <v>6.3500000000000059</v>
      </c>
      <c r="I6" s="124">
        <f t="shared" si="2"/>
        <v>0.93382352941176472</v>
      </c>
      <c r="J6" s="124">
        <f t="shared" si="0"/>
        <v>0.70036764705882359</v>
      </c>
      <c r="K6" s="124">
        <f t="shared" si="1"/>
        <v>0.4669117647058828</v>
      </c>
    </row>
    <row r="7" spans="2:13" x14ac:dyDescent="0.2">
      <c r="B7" s="18" t="s">
        <v>6</v>
      </c>
      <c r="C7" s="126">
        <f>'Model 2.'!S73</f>
        <v>8</v>
      </c>
      <c r="D7" s="133">
        <f>'Model 2.'!AC73</f>
        <v>26.5</v>
      </c>
      <c r="E7" s="134">
        <f>'Model 2.'!AD73</f>
        <v>2.64E-2</v>
      </c>
      <c r="F7" s="126">
        <f>('Model 1'!C72)/1000000</f>
        <v>4.7</v>
      </c>
      <c r="G7" s="126">
        <f>('Model 1'!D72)/1000000</f>
        <v>5.875</v>
      </c>
      <c r="H7" s="126">
        <f>('Model 2.'!D73)/1000000</f>
        <v>7.05</v>
      </c>
      <c r="I7" s="124">
        <f t="shared" si="2"/>
        <v>0.58750000000000002</v>
      </c>
      <c r="J7" s="124">
        <f t="shared" si="0"/>
        <v>0.734375</v>
      </c>
      <c r="K7" s="135">
        <f t="shared" si="1"/>
        <v>0.88124999999999998</v>
      </c>
    </row>
    <row r="8" spans="2:13" x14ac:dyDescent="0.2">
      <c r="B8" s="18" t="s">
        <v>7</v>
      </c>
      <c r="C8" s="126">
        <f>'Model 2.'!S77</f>
        <v>29.9</v>
      </c>
      <c r="D8" s="126">
        <f>'Model 2.'!AC77</f>
        <v>32.4</v>
      </c>
      <c r="E8" s="132">
        <f>'Model 2.'!AD77</f>
        <v>1.8100000000000002E-2</v>
      </c>
      <c r="F8" s="126">
        <f>('Model 1'!C76)/1000000</f>
        <v>12.7</v>
      </c>
      <c r="G8" s="126">
        <f>('Model 1'!D76)/1000000</f>
        <v>10.445912999999999</v>
      </c>
      <c r="H8" s="126">
        <f>('Model 2.'!D77)/1000000</f>
        <v>9.6567956630525256</v>
      </c>
      <c r="I8" s="124">
        <f t="shared" si="2"/>
        <v>0.42474916387959866</v>
      </c>
      <c r="J8" s="124">
        <f t="shared" si="0"/>
        <v>0.34936163879598658</v>
      </c>
      <c r="K8" s="124">
        <f t="shared" si="1"/>
        <v>0.32296975461714134</v>
      </c>
    </row>
    <row r="9" spans="2:13" x14ac:dyDescent="0.2">
      <c r="B9" s="18" t="s">
        <v>8</v>
      </c>
      <c r="C9" s="126">
        <f>'Model 2.'!S81</f>
        <v>2.9</v>
      </c>
      <c r="D9" s="126">
        <f>'Model 2.'!AC81</f>
        <v>20.6</v>
      </c>
      <c r="E9" s="132">
        <f>'Model 2.'!AD81</f>
        <v>1.83E-2</v>
      </c>
      <c r="F9" s="126">
        <f>('Model 1'!C80)/1000000</f>
        <v>6.35</v>
      </c>
      <c r="G9" s="126">
        <f>('Model 1'!D80)/1000000</f>
        <v>4.7625000000000002</v>
      </c>
      <c r="H9" s="126">
        <f>('Model 2.'!D81)/1000000</f>
        <v>2.730500000000005</v>
      </c>
      <c r="I9" s="124">
        <f t="shared" si="2"/>
        <v>2.1896551724137931</v>
      </c>
      <c r="J9" s="124">
        <f t="shared" si="0"/>
        <v>1.642241379310345</v>
      </c>
      <c r="K9" s="135">
        <f t="shared" si="1"/>
        <v>0.94155172413793276</v>
      </c>
      <c r="L9" s="136" t="s">
        <v>52</v>
      </c>
      <c r="M9" s="137"/>
    </row>
    <row r="10" spans="2:13" hidden="1" x14ac:dyDescent="0.2">
      <c r="B10" s="18" t="s">
        <v>43</v>
      </c>
      <c r="C10" s="127">
        <f>SUM(C4:C9)</f>
        <v>115.5</v>
      </c>
      <c r="D10" s="127"/>
      <c r="E10" s="127"/>
      <c r="F10" s="127">
        <f>SUM(F4:F9)</f>
        <v>58.65</v>
      </c>
      <c r="G10" s="127">
        <f>SUM(G4:G9)</f>
        <v>52.108412999999999</v>
      </c>
      <c r="H10" s="127">
        <f>SUM(H4:H9)</f>
        <v>51.117295663052538</v>
      </c>
      <c r="I10" s="125">
        <f t="shared" ref="I10" si="3">F10/$C10</f>
        <v>0.50779220779220779</v>
      </c>
      <c r="J10" s="125">
        <f t="shared" ref="J10" si="4">G10/$C10</f>
        <v>0.45115509090909089</v>
      </c>
      <c r="K10" s="125">
        <f t="shared" ref="K10" si="5">H10/$C10</f>
        <v>0.44257398842469731</v>
      </c>
    </row>
  </sheetData>
  <mergeCells count="2">
    <mergeCell ref="F2:H2"/>
    <mergeCell ref="I2:K2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Answer Report 2</vt:lpstr>
      <vt:lpstr>Model 2.</vt:lpstr>
      <vt:lpstr>Model 2</vt:lpstr>
      <vt:lpstr>Model 2 Modify</vt:lpstr>
      <vt:lpstr>Answer Report 1</vt:lpstr>
      <vt:lpstr>Model 1</vt:lpstr>
      <vt:lpstr>RAW DATA</vt:lpstr>
      <vt:lpstr>FB Users</vt:lpstr>
      <vt:lpstr>'Answer Report 1'!Print_Area</vt:lpstr>
      <vt:lpstr>'FB Users'!Print_Area</vt:lpstr>
      <vt:lpstr>'Model 1'!Print_Area</vt:lpstr>
      <vt:lpstr>'RAW DATA'!Print_Area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Thiago Amaral</cp:lastModifiedBy>
  <dcterms:created xsi:type="dcterms:W3CDTF">2020-02-05T16:53:12Z</dcterms:created>
  <dcterms:modified xsi:type="dcterms:W3CDTF">2020-02-11T20:00:27Z</dcterms:modified>
</cp:coreProperties>
</file>